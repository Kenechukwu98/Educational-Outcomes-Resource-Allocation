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Performance_Data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4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2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2" customWidth="1" min="4" max="4"/>
    <col width="12" customWidth="1" min="5" max="5"/>
    <col width="13" customWidth="1" min="6" max="6"/>
    <col width="20" customWidth="1" min="7" max="7"/>
    <col width="22" customWidth="1" min="8" max="8"/>
    <col width="14" customWidth="1" min="9" max="9"/>
    <col width="14" customWidth="1" min="10" max="10"/>
    <col width="21" customWidth="1" min="11" max="11"/>
    <col width="22" customWidth="1" min="12" max="12"/>
    <col width="25" customWidth="1" min="13" max="13"/>
    <col width="23" customWidth="1" min="14" max="14"/>
    <col width="20" customWidth="1" min="15" max="15"/>
    <col width="16" customWidth="1" min="16" max="16"/>
    <col width="14" customWidth="1" min="17" max="17"/>
    <col width="20" customWidth="1" min="18" max="18"/>
    <col width="14" customWidth="1" min="19" max="19"/>
    <col width="12" customWidth="1" min="20" max="20"/>
    <col width="14" customWidth="1" min="21" max="21"/>
  </cols>
  <sheetData>
    <row r="1" ht="40" customHeight="1">
      <c r="A1" s="1" t="inlineStr">
        <is>
          <t>Student_ID</t>
        </is>
      </c>
      <c r="B1" s="1" t="inlineStr">
        <is>
          <t>School_Name</t>
        </is>
      </c>
      <c r="C1" s="1" t="inlineStr">
        <is>
          <t>Region</t>
        </is>
      </c>
      <c r="D1" s="1" t="inlineStr">
        <is>
          <t>School_Type</t>
        </is>
      </c>
      <c r="E1" s="1" t="inlineStr">
        <is>
          <t>Enrollment</t>
        </is>
      </c>
      <c r="F1" s="1" t="inlineStr">
        <is>
          <t>Num_Teachers</t>
        </is>
      </c>
      <c r="G1" s="1" t="inlineStr">
        <is>
          <t>Student_Teacher_Ratio</t>
        </is>
      </c>
      <c r="H1" s="1" t="inlineStr">
        <is>
          <t>Budget_Per_Student_USD</t>
        </is>
      </c>
      <c r="I1" s="1" t="inlineStr">
        <is>
          <t>Library_Books</t>
        </is>
      </c>
      <c r="J1" s="1" t="inlineStr">
        <is>
          <t>Num_Computers</t>
        </is>
      </c>
      <c r="K1" s="1" t="inlineStr">
        <is>
          <t>Computer_Student_Ratio</t>
        </is>
      </c>
      <c r="L1" s="1" t="inlineStr">
        <is>
          <t>Extracurricular_Programs</t>
        </is>
      </c>
      <c r="M1" s="1" t="inlineStr">
        <is>
          <t>Avg_Teacher_Experience_Yrs</t>
        </is>
      </c>
      <c r="N1" s="1" t="inlineStr">
        <is>
          <t>Teacher_Qualification_Pct</t>
        </is>
      </c>
      <c r="O1" s="1" t="inlineStr">
        <is>
          <t>Attendance_Rate_Pct</t>
        </is>
      </c>
      <c r="P1" s="1" t="inlineStr">
        <is>
          <t>Dropout_Rate_Pct</t>
        </is>
      </c>
      <c r="Q1" s="1" t="inlineStr">
        <is>
          <t>Avg_Test_Score</t>
        </is>
      </c>
      <c r="R1" s="1" t="inlineStr">
        <is>
          <t>Graduation_Rate_Pct</t>
        </is>
      </c>
      <c r="S1" s="1" t="inlineStr">
        <is>
          <t>Pass_Rate_Pct</t>
        </is>
      </c>
      <c r="T1" s="1" t="inlineStr">
        <is>
          <t>STEM_Score</t>
        </is>
      </c>
      <c r="U1" s="1" t="inlineStr">
        <is>
          <t>Literacy_Score</t>
        </is>
      </c>
    </row>
    <row r="2">
      <c r="A2" s="2" t="n">
        <v>1</v>
      </c>
      <c r="B2" s="2" t="inlineStr">
        <is>
          <t>Riverside High</t>
        </is>
      </c>
      <c r="C2" s="2" t="inlineStr">
        <is>
          <t>North</t>
        </is>
      </c>
      <c r="D2" s="2" t="inlineStr">
        <is>
          <t>Charter</t>
        </is>
      </c>
      <c r="E2" s="2" t="n">
        <v>763</v>
      </c>
      <c r="F2" s="2" t="n">
        <v>41</v>
      </c>
      <c r="G2" s="2" t="n">
        <v>18.6</v>
      </c>
      <c r="H2" s="2" t="n">
        <v>2950.87</v>
      </c>
      <c r="I2" s="2" t="n">
        <v>2179</v>
      </c>
      <c r="J2" s="2" t="n">
        <v>366</v>
      </c>
      <c r="K2" s="2" t="n">
        <v>0.48</v>
      </c>
      <c r="L2" s="2" t="n">
        <v>18</v>
      </c>
      <c r="M2" s="2" t="n">
        <v>3.1</v>
      </c>
      <c r="N2" s="2" t="n">
        <v>71.09999999999999</v>
      </c>
      <c r="O2" s="2" t="n">
        <v>70.90000000000001</v>
      </c>
      <c r="P2" s="2" t="n">
        <v>3.7</v>
      </c>
      <c r="Q2" s="2" t="n">
        <v>76.90000000000001</v>
      </c>
      <c r="R2" s="2" t="n">
        <v>87.90000000000001</v>
      </c>
      <c r="S2" s="2" t="n">
        <v>69.90000000000001</v>
      </c>
      <c r="T2" s="2" t="n">
        <v>79.3</v>
      </c>
      <c r="U2" s="2" t="n">
        <v>77.59999999999999</v>
      </c>
    </row>
    <row r="3">
      <c r="A3" s="3" t="n">
        <v>2</v>
      </c>
      <c r="B3" s="3" t="inlineStr">
        <is>
          <t>Hillcrest Institute</t>
        </is>
      </c>
      <c r="C3" s="3" t="inlineStr">
        <is>
          <t>West</t>
        </is>
      </c>
      <c r="D3" s="3" t="inlineStr">
        <is>
          <t>Charter</t>
        </is>
      </c>
      <c r="E3" s="3" t="n">
        <v>769</v>
      </c>
      <c r="F3" s="3" t="n">
        <v>113</v>
      </c>
      <c r="G3" s="3" t="n">
        <v>6.8</v>
      </c>
      <c r="H3" s="3" t="n">
        <v>7150.45</v>
      </c>
      <c r="I3" s="3" t="n">
        <v>3115</v>
      </c>
      <c r="J3" s="3" t="n">
        <v>377</v>
      </c>
      <c r="K3" s="3" t="n">
        <v>0.49</v>
      </c>
      <c r="L3" s="3" t="n">
        <v>14</v>
      </c>
      <c r="M3" s="3" t="n">
        <v>9.199999999999999</v>
      </c>
      <c r="N3" s="3" t="n">
        <v>57.8</v>
      </c>
      <c r="O3" s="3" t="n">
        <v>97.8</v>
      </c>
      <c r="P3" s="3" t="n">
        <v>5.4</v>
      </c>
      <c r="Q3" s="3" t="n">
        <v>97.5</v>
      </c>
      <c r="R3" s="3" t="n">
        <v>85.2</v>
      </c>
      <c r="S3" s="3" t="n">
        <v>84</v>
      </c>
      <c r="T3" s="3" t="n">
        <v>99.2</v>
      </c>
      <c r="U3" s="3" t="n">
        <v>102.4</v>
      </c>
    </row>
    <row r="4">
      <c r="A4" s="2" t="n">
        <v>3</v>
      </c>
      <c r="B4" s="2" t="inlineStr">
        <is>
          <t>Westbrook School</t>
        </is>
      </c>
      <c r="C4" s="2" t="inlineStr">
        <is>
          <t>Central</t>
        </is>
      </c>
      <c r="D4" s="2" t="inlineStr">
        <is>
          <t>Public</t>
        </is>
      </c>
      <c r="E4" s="2" t="n">
        <v>975</v>
      </c>
      <c r="F4" s="2" t="n">
        <v>20</v>
      </c>
      <c r="G4" s="2" t="n">
        <v>48.8</v>
      </c>
      <c r="H4" s="2" t="n">
        <v>5088.26</v>
      </c>
      <c r="I4" s="2" t="n">
        <v>6425</v>
      </c>
      <c r="J4" s="2" t="n">
        <v>315</v>
      </c>
      <c r="K4" s="2" t="n">
        <v>0.32</v>
      </c>
      <c r="L4" s="2" t="n">
        <v>7</v>
      </c>
      <c r="M4" s="2" t="n">
        <v>17.9</v>
      </c>
      <c r="N4" s="2" t="n">
        <v>52.3</v>
      </c>
      <c r="O4" s="2" t="n">
        <v>76.59999999999999</v>
      </c>
      <c r="P4" s="2" t="n">
        <v>4.7</v>
      </c>
      <c r="Q4" s="2" t="n">
        <v>62</v>
      </c>
      <c r="R4" s="2" t="n">
        <v>87.90000000000001</v>
      </c>
      <c r="S4" s="2" t="n">
        <v>56</v>
      </c>
      <c r="T4" s="2" t="n">
        <v>58.4</v>
      </c>
      <c r="U4" s="2" t="n">
        <v>64.2</v>
      </c>
    </row>
    <row r="5">
      <c r="A5" s="3" t="n">
        <v>4</v>
      </c>
      <c r="B5" s="3" t="inlineStr">
        <is>
          <t>Sunrise Academy</t>
        </is>
      </c>
      <c r="C5" s="3" t="inlineStr">
        <is>
          <t>South</t>
        </is>
      </c>
      <c r="D5" s="3" t="inlineStr">
        <is>
          <t>Private</t>
        </is>
      </c>
      <c r="E5" s="3" t="n">
        <v>927</v>
      </c>
      <c r="F5" s="3" t="n">
        <v>36</v>
      </c>
      <c r="G5" s="3" t="n">
        <v>25.8</v>
      </c>
      <c r="H5" s="3" t="n">
        <v>5856.14</v>
      </c>
      <c r="I5" s="3" t="n">
        <v>1669</v>
      </c>
      <c r="J5" s="3" t="n">
        <v>331</v>
      </c>
      <c r="K5" s="3" t="n">
        <v>0.36</v>
      </c>
      <c r="L5" s="3" t="n">
        <v>6</v>
      </c>
      <c r="M5" s="3" t="n">
        <v>13.8</v>
      </c>
      <c r="N5" s="3" t="n">
        <v>62.2</v>
      </c>
      <c r="O5" s="3" t="n">
        <v>83.40000000000001</v>
      </c>
      <c r="P5" s="3" t="n">
        <v>4.4</v>
      </c>
      <c r="Q5" s="3" t="n">
        <v>96.7</v>
      </c>
      <c r="R5" s="3" t="n">
        <v>93.09999999999999</v>
      </c>
      <c r="S5" s="3" t="n">
        <v>89.5</v>
      </c>
      <c r="T5" s="3" t="n">
        <v>93.90000000000001</v>
      </c>
      <c r="U5" s="3" t="n">
        <v>101</v>
      </c>
    </row>
    <row r="6">
      <c r="A6" s="2" t="n">
        <v>5</v>
      </c>
      <c r="B6" s="2" t="inlineStr">
        <is>
          <t>Greenfield Academy</t>
        </is>
      </c>
      <c r="C6" s="2" t="inlineStr">
        <is>
          <t>South</t>
        </is>
      </c>
      <c r="D6" s="2" t="inlineStr">
        <is>
          <t>Public</t>
        </is>
      </c>
      <c r="E6" s="2" t="n">
        <v>1848</v>
      </c>
      <c r="F6" s="2" t="n">
        <v>50</v>
      </c>
      <c r="G6" s="2" t="n">
        <v>37</v>
      </c>
      <c r="H6" s="2" t="n">
        <v>4107.57</v>
      </c>
      <c r="I6" s="2" t="n">
        <v>1584</v>
      </c>
      <c r="J6" s="2" t="n">
        <v>128</v>
      </c>
      <c r="K6" s="2" t="n">
        <v>0.07000000000000001</v>
      </c>
      <c r="L6" s="2" t="n">
        <v>19</v>
      </c>
      <c r="M6" s="2" t="n">
        <v>22</v>
      </c>
      <c r="N6" s="2" t="n">
        <v>65.7</v>
      </c>
      <c r="O6" s="2" t="n">
        <v>89</v>
      </c>
      <c r="P6" s="2" t="n">
        <v>6.2</v>
      </c>
      <c r="Q6" s="2" t="n">
        <v>83.5</v>
      </c>
      <c r="R6" s="2" t="n">
        <v>87.2</v>
      </c>
      <c r="S6" s="2" t="n">
        <v>75.90000000000001</v>
      </c>
      <c r="T6" s="2" t="n">
        <v>79.40000000000001</v>
      </c>
      <c r="U6" s="2" t="n">
        <v>84.5</v>
      </c>
    </row>
    <row r="7">
      <c r="A7" s="3" t="n">
        <v>6</v>
      </c>
      <c r="B7" s="3" t="inlineStr">
        <is>
          <t>Lakeview School</t>
        </is>
      </c>
      <c r="C7" s="3" t="inlineStr">
        <is>
          <t>Central</t>
        </is>
      </c>
      <c r="D7" s="3" t="inlineStr">
        <is>
          <t>Private</t>
        </is>
      </c>
      <c r="E7" s="3" t="n">
        <v>1395</v>
      </c>
      <c r="F7" s="3" t="n">
        <v>61</v>
      </c>
      <c r="G7" s="3" t="n">
        <v>22.9</v>
      </c>
      <c r="H7" s="3" t="n">
        <v>3852.98</v>
      </c>
      <c r="I7" s="3" t="n">
        <v>2766</v>
      </c>
      <c r="J7" s="3" t="n">
        <v>280</v>
      </c>
      <c r="K7" s="3" t="n">
        <v>0.2</v>
      </c>
      <c r="L7" s="3" t="n">
        <v>16</v>
      </c>
      <c r="M7" s="3" t="n">
        <v>3.2</v>
      </c>
      <c r="N7" s="3" t="n">
        <v>52.4</v>
      </c>
      <c r="O7" s="3" t="n">
        <v>73.2</v>
      </c>
      <c r="P7" s="3" t="n">
        <v>9.6</v>
      </c>
      <c r="Q7" s="3" t="n">
        <v>82.5</v>
      </c>
      <c r="R7" s="3" t="n">
        <v>80</v>
      </c>
      <c r="S7" s="3" t="n">
        <v>76.90000000000001</v>
      </c>
      <c r="T7" s="3" t="n">
        <v>80.59999999999999</v>
      </c>
      <c r="U7" s="3" t="n">
        <v>90.40000000000001</v>
      </c>
    </row>
    <row r="8">
      <c r="A8" s="2" t="n">
        <v>7</v>
      </c>
      <c r="B8" s="2" t="inlineStr">
        <is>
          <t>Eastgate Institute</t>
        </is>
      </c>
      <c r="C8" s="2" t="inlineStr">
        <is>
          <t>East</t>
        </is>
      </c>
      <c r="D8" s="2" t="inlineStr">
        <is>
          <t>Charter</t>
        </is>
      </c>
      <c r="E8" s="2" t="n">
        <v>1962</v>
      </c>
      <c r="F8" s="2" t="n">
        <v>11</v>
      </c>
      <c r="G8" s="2" t="n">
        <v>178.4</v>
      </c>
      <c r="H8" s="2" t="n">
        <v>5921.84</v>
      </c>
      <c r="I8" s="2" t="n">
        <v>2376</v>
      </c>
      <c r="J8" s="2" t="n">
        <v>369</v>
      </c>
      <c r="K8" s="2" t="n">
        <v>0.19</v>
      </c>
      <c r="L8" s="2" t="n">
        <v>18</v>
      </c>
      <c r="M8" s="2" t="n">
        <v>19</v>
      </c>
      <c r="N8" s="2" t="n">
        <v>88.40000000000001</v>
      </c>
      <c r="O8" s="2" t="n">
        <v>79.90000000000001</v>
      </c>
      <c r="P8" s="2" t="n">
        <v>4.8</v>
      </c>
      <c r="Q8" s="2" t="n">
        <v>35</v>
      </c>
      <c r="R8" s="2" t="n">
        <v>85.40000000000001</v>
      </c>
      <c r="S8" s="2" t="n">
        <v>30</v>
      </c>
      <c r="T8" s="2" t="n">
        <v>38.5</v>
      </c>
      <c r="U8" s="2" t="n">
        <v>42.6</v>
      </c>
    </row>
    <row r="9">
      <c r="A9" s="3" t="n">
        <v>8</v>
      </c>
      <c r="B9" s="3" t="inlineStr">
        <is>
          <t>Oakwood Secondary</t>
        </is>
      </c>
      <c r="C9" s="3" t="inlineStr">
        <is>
          <t>Central</t>
        </is>
      </c>
      <c r="D9" s="3" t="inlineStr">
        <is>
          <t>Public</t>
        </is>
      </c>
      <c r="E9" s="3" t="n">
        <v>1982</v>
      </c>
      <c r="F9" s="3" t="n">
        <v>90</v>
      </c>
      <c r="G9" s="3" t="n">
        <v>22</v>
      </c>
      <c r="H9" s="3" t="n">
        <v>3439.89</v>
      </c>
      <c r="I9" s="3" t="n">
        <v>8817</v>
      </c>
      <c r="J9" s="3" t="n">
        <v>331</v>
      </c>
      <c r="K9" s="3" t="n">
        <v>0.17</v>
      </c>
      <c r="L9" s="3" t="n">
        <v>7</v>
      </c>
      <c r="M9" s="3" t="n">
        <v>4.7</v>
      </c>
      <c r="N9" s="3" t="n">
        <v>88.09999999999999</v>
      </c>
      <c r="O9" s="3" t="n">
        <v>85.59999999999999</v>
      </c>
      <c r="P9" s="3" t="n">
        <v>11.8</v>
      </c>
      <c r="Q9" s="3" t="n">
        <v>82.90000000000001</v>
      </c>
      <c r="R9" s="3" t="n">
        <v>71.40000000000001</v>
      </c>
      <c r="S9" s="3" t="n">
        <v>74.7</v>
      </c>
      <c r="T9" s="3" t="n">
        <v>75.2</v>
      </c>
      <c r="U9" s="3" t="n">
        <v>89.8</v>
      </c>
    </row>
    <row r="10">
      <c r="A10" s="2" t="n">
        <v>9</v>
      </c>
      <c r="B10" s="2" t="inlineStr">
        <is>
          <t>Lakeview School</t>
        </is>
      </c>
      <c r="C10" s="2" t="inlineStr">
        <is>
          <t>South</t>
        </is>
      </c>
      <c r="D10" s="2" t="inlineStr">
        <is>
          <t>Public</t>
        </is>
      </c>
      <c r="E10" s="2" t="n">
        <v>693</v>
      </c>
      <c r="F10" s="2" t="n">
        <v>82</v>
      </c>
      <c r="G10" s="2" t="n">
        <v>8.5</v>
      </c>
      <c r="H10" s="2" t="n">
        <v>7655.17</v>
      </c>
      <c r="I10" s="2" t="n">
        <v>1903</v>
      </c>
      <c r="J10" s="2" t="n">
        <v>394</v>
      </c>
      <c r="K10" s="2" t="n">
        <v>0.57</v>
      </c>
      <c r="L10" s="2" t="n">
        <v>16</v>
      </c>
      <c r="M10" s="2" t="n">
        <v>20.6</v>
      </c>
      <c r="N10" s="2" t="n">
        <v>98.90000000000001</v>
      </c>
      <c r="O10" s="2" t="n">
        <v>85.40000000000001</v>
      </c>
      <c r="P10" s="2" t="n">
        <v>2.3</v>
      </c>
      <c r="Q10" s="2" t="n">
        <v>98</v>
      </c>
      <c r="R10" s="2" t="n">
        <v>99</v>
      </c>
      <c r="S10" s="2" t="n">
        <v>91.3</v>
      </c>
      <c r="T10" s="2" t="n">
        <v>98.40000000000001</v>
      </c>
      <c r="U10" s="2" t="n">
        <v>99.7</v>
      </c>
    </row>
    <row r="11">
      <c r="A11" s="3" t="n">
        <v>10</v>
      </c>
      <c r="B11" s="3" t="inlineStr">
        <is>
          <t>Hillcrest Institute</t>
        </is>
      </c>
      <c r="C11" s="3" t="inlineStr">
        <is>
          <t>Central</t>
        </is>
      </c>
      <c r="D11" s="3" t="inlineStr">
        <is>
          <t>Charter</t>
        </is>
      </c>
      <c r="E11" s="3" t="n">
        <v>1612</v>
      </c>
      <c r="F11" s="3" t="n">
        <v>35</v>
      </c>
      <c r="G11" s="3" t="n">
        <v>46.1</v>
      </c>
      <c r="H11" s="3" t="n">
        <v>6134.17</v>
      </c>
      <c r="I11" s="3" t="n">
        <v>7037</v>
      </c>
      <c r="J11" s="3" t="n">
        <v>363</v>
      </c>
      <c r="K11" s="3" t="n">
        <v>0.23</v>
      </c>
      <c r="L11" s="3" t="n">
        <v>12</v>
      </c>
      <c r="M11" s="3" t="n">
        <v>11.5</v>
      </c>
      <c r="N11" s="3" t="n">
        <v>75.90000000000001</v>
      </c>
      <c r="O11" s="3" t="n">
        <v>73.5</v>
      </c>
      <c r="P11" s="3" t="n">
        <v>3.8</v>
      </c>
      <c r="Q11" s="3" t="n">
        <v>76.8</v>
      </c>
      <c r="R11" s="3" t="n">
        <v>93.3</v>
      </c>
      <c r="S11" s="3" t="n">
        <v>69.5</v>
      </c>
      <c r="T11" s="3" t="n">
        <v>72.3</v>
      </c>
      <c r="U11" s="3" t="n">
        <v>69.90000000000001</v>
      </c>
    </row>
    <row r="12">
      <c r="A12" s="2" t="n">
        <v>11</v>
      </c>
      <c r="B12" s="2" t="inlineStr">
        <is>
          <t>Greenfield Academy</t>
        </is>
      </c>
      <c r="C12" s="2" t="inlineStr">
        <is>
          <t>South</t>
        </is>
      </c>
      <c r="D12" s="2" t="inlineStr">
        <is>
          <t>Public</t>
        </is>
      </c>
      <c r="E12" s="2" t="n">
        <v>264</v>
      </c>
      <c r="F12" s="2" t="n">
        <v>120</v>
      </c>
      <c r="G12" s="2" t="n">
        <v>2.2</v>
      </c>
      <c r="H12" s="2" t="n">
        <v>3647.79</v>
      </c>
      <c r="I12" s="2" t="n">
        <v>8923</v>
      </c>
      <c r="J12" s="2" t="n">
        <v>141</v>
      </c>
      <c r="K12" s="2" t="n">
        <v>0.53</v>
      </c>
      <c r="L12" s="2" t="n">
        <v>9</v>
      </c>
      <c r="M12" s="2" t="n">
        <v>17.1</v>
      </c>
      <c r="N12" s="2" t="n">
        <v>60.7</v>
      </c>
      <c r="O12" s="2" t="n">
        <v>73.8</v>
      </c>
      <c r="P12" s="2" t="n">
        <v>14.1</v>
      </c>
      <c r="Q12" s="2" t="n">
        <v>88.7</v>
      </c>
      <c r="R12" s="2" t="n">
        <v>71.5</v>
      </c>
      <c r="S12" s="2" t="n">
        <v>75.90000000000001</v>
      </c>
      <c r="T12" s="2" t="n">
        <v>93.59999999999999</v>
      </c>
      <c r="U12" s="2" t="n">
        <v>83.7</v>
      </c>
    </row>
    <row r="13">
      <c r="A13" s="3" t="n">
        <v>12</v>
      </c>
      <c r="B13" s="3" t="inlineStr">
        <is>
          <t>Riverside High</t>
        </is>
      </c>
      <c r="C13" s="3" t="inlineStr">
        <is>
          <t>West</t>
        </is>
      </c>
      <c r="D13" s="3" t="inlineStr">
        <is>
          <t>Private</t>
        </is>
      </c>
      <c r="E13" s="3" t="n">
        <v>1067</v>
      </c>
      <c r="F13" s="3" t="n">
        <v>62</v>
      </c>
      <c r="G13" s="3" t="n">
        <v>17.2</v>
      </c>
      <c r="H13" s="3" t="n">
        <v>4535.66</v>
      </c>
      <c r="I13" s="3" t="n">
        <v>1387</v>
      </c>
      <c r="J13" s="3" t="n">
        <v>364</v>
      </c>
      <c r="K13" s="3" t="n">
        <v>0.34</v>
      </c>
      <c r="L13" s="3" t="n">
        <v>4</v>
      </c>
      <c r="M13" s="3" t="n">
        <v>2.5</v>
      </c>
      <c r="N13" s="3" t="n">
        <v>86.40000000000001</v>
      </c>
      <c r="O13" s="3" t="n">
        <v>93.2</v>
      </c>
      <c r="P13" s="3" t="n">
        <v>2.1</v>
      </c>
      <c r="Q13" s="3" t="n">
        <v>84.90000000000001</v>
      </c>
      <c r="R13" s="3" t="n">
        <v>96.2</v>
      </c>
      <c r="S13" s="3" t="n">
        <v>78.5</v>
      </c>
      <c r="T13" s="3" t="n">
        <v>79.8</v>
      </c>
      <c r="U13" s="3" t="n">
        <v>84.3</v>
      </c>
    </row>
    <row r="14">
      <c r="A14" s="2" t="n">
        <v>13</v>
      </c>
      <c r="B14" s="2" t="inlineStr">
        <is>
          <t>Riverside High</t>
        </is>
      </c>
      <c r="C14" s="2" t="inlineStr">
        <is>
          <t>West</t>
        </is>
      </c>
      <c r="D14" s="2" t="inlineStr">
        <is>
          <t>Charter</t>
        </is>
      </c>
      <c r="E14" s="2" t="n">
        <v>400</v>
      </c>
      <c r="F14" s="2" t="n">
        <v>16</v>
      </c>
      <c r="G14" s="2" t="n">
        <v>25</v>
      </c>
      <c r="H14" s="2" t="n">
        <v>5738.94</v>
      </c>
      <c r="I14" s="2" t="n">
        <v>9356</v>
      </c>
      <c r="J14" s="2" t="n">
        <v>448</v>
      </c>
      <c r="K14" s="2" t="n">
        <v>1.12</v>
      </c>
      <c r="L14" s="2" t="n">
        <v>1</v>
      </c>
      <c r="M14" s="2" t="n">
        <v>24.3</v>
      </c>
      <c r="N14" s="2" t="n">
        <v>96.3</v>
      </c>
      <c r="O14" s="2" t="n">
        <v>94.59999999999999</v>
      </c>
      <c r="P14" s="2" t="n">
        <v>2.9</v>
      </c>
      <c r="Q14" s="2" t="n">
        <v>94.5</v>
      </c>
      <c r="R14" s="2" t="n">
        <v>91.3</v>
      </c>
      <c r="S14" s="2" t="n">
        <v>85.5</v>
      </c>
      <c r="T14" s="2" t="n">
        <v>87.40000000000001</v>
      </c>
      <c r="U14" s="2" t="n">
        <v>92.59999999999999</v>
      </c>
    </row>
    <row r="15">
      <c r="A15" s="3" t="n">
        <v>14</v>
      </c>
      <c r="B15" s="3" t="inlineStr">
        <is>
          <t>Pinnacle High</t>
        </is>
      </c>
      <c r="C15" s="3" t="inlineStr">
        <is>
          <t>East</t>
        </is>
      </c>
      <c r="D15" s="3" t="inlineStr">
        <is>
          <t>Private</t>
        </is>
      </c>
      <c r="E15" s="3" t="n">
        <v>784</v>
      </c>
      <c r="F15" s="3" t="n">
        <v>64</v>
      </c>
      <c r="G15" s="3" t="n">
        <v>12.2</v>
      </c>
      <c r="H15" s="3" t="n">
        <v>6027.84</v>
      </c>
      <c r="I15" s="3" t="n">
        <v>9605</v>
      </c>
      <c r="J15" s="3" t="n">
        <v>358</v>
      </c>
      <c r="K15" s="3" t="n">
        <v>0.46</v>
      </c>
      <c r="L15" s="3" t="n">
        <v>16</v>
      </c>
      <c r="M15" s="3" t="n">
        <v>4.7</v>
      </c>
      <c r="N15" s="3" t="n">
        <v>64.8</v>
      </c>
      <c r="O15" s="3" t="n">
        <v>98.09999999999999</v>
      </c>
      <c r="P15" s="3" t="n">
        <v>8.9</v>
      </c>
      <c r="Q15" s="3" t="n">
        <v>98</v>
      </c>
      <c r="R15" s="3" t="n">
        <v>84.7</v>
      </c>
      <c r="S15" s="3" t="n">
        <v>92.40000000000001</v>
      </c>
      <c r="T15" s="3" t="n">
        <v>99.3</v>
      </c>
      <c r="U15" s="3" t="n">
        <v>98</v>
      </c>
    </row>
    <row r="16">
      <c r="A16" s="2" t="n">
        <v>15</v>
      </c>
      <c r="B16" s="2" t="inlineStr">
        <is>
          <t>Eastgate Institute</t>
        </is>
      </c>
      <c r="C16" s="2" t="inlineStr">
        <is>
          <t>South</t>
        </is>
      </c>
      <c r="D16" s="2" t="inlineStr">
        <is>
          <t>Public</t>
        </is>
      </c>
      <c r="E16" s="2" t="n">
        <v>1240</v>
      </c>
      <c r="F16" s="2" t="n">
        <v>20</v>
      </c>
      <c r="G16" s="2" t="n">
        <v>62</v>
      </c>
      <c r="H16" s="2" t="n">
        <v>7033.73</v>
      </c>
      <c r="I16" s="2" t="n">
        <v>1622</v>
      </c>
      <c r="J16" s="2" t="n">
        <v>324</v>
      </c>
      <c r="K16" s="2" t="n">
        <v>0.26</v>
      </c>
      <c r="L16" s="2" t="n">
        <v>3</v>
      </c>
      <c r="M16" s="2" t="n">
        <v>17.2</v>
      </c>
      <c r="N16" s="2" t="n">
        <v>61.8</v>
      </c>
      <c r="O16" s="2" t="n">
        <v>73.5</v>
      </c>
      <c r="P16" s="2" t="n">
        <v>13.4</v>
      </c>
      <c r="Q16" s="2" t="n">
        <v>69.40000000000001</v>
      </c>
      <c r="R16" s="2" t="n">
        <v>74.09999999999999</v>
      </c>
      <c r="S16" s="2" t="n">
        <v>58.2</v>
      </c>
      <c r="T16" s="2" t="n">
        <v>68.09999999999999</v>
      </c>
      <c r="U16" s="2" t="n">
        <v>70.7</v>
      </c>
    </row>
    <row r="17">
      <c r="A17" s="3" t="n">
        <v>16</v>
      </c>
      <c r="B17" s="3" t="inlineStr">
        <is>
          <t>Eastgate Institute</t>
        </is>
      </c>
      <c r="C17" s="3" t="inlineStr">
        <is>
          <t>East</t>
        </is>
      </c>
      <c r="D17" s="3" t="inlineStr">
        <is>
          <t>Private</t>
        </is>
      </c>
      <c r="E17" s="3" t="n">
        <v>618</v>
      </c>
      <c r="F17" s="3" t="n">
        <v>95</v>
      </c>
      <c r="G17" s="3" t="n">
        <v>6.5</v>
      </c>
      <c r="H17" s="3" t="n">
        <v>6155.25</v>
      </c>
      <c r="I17" s="3" t="n">
        <v>4410</v>
      </c>
      <c r="J17" s="3" t="n">
        <v>155</v>
      </c>
      <c r="K17" s="3" t="n">
        <v>0.25</v>
      </c>
      <c r="L17" s="3" t="n">
        <v>13</v>
      </c>
      <c r="M17" s="3" t="n">
        <v>4.1</v>
      </c>
      <c r="N17" s="3" t="n">
        <v>82.3</v>
      </c>
      <c r="O17" s="3" t="n">
        <v>83.3</v>
      </c>
      <c r="P17" s="3" t="n">
        <v>14</v>
      </c>
      <c r="Q17" s="3" t="n">
        <v>98</v>
      </c>
      <c r="R17" s="3" t="n">
        <v>67.09999999999999</v>
      </c>
      <c r="S17" s="3" t="n">
        <v>86.8</v>
      </c>
      <c r="T17" s="3" t="n">
        <v>99</v>
      </c>
      <c r="U17" s="3" t="n">
        <v>91.59999999999999</v>
      </c>
    </row>
    <row r="18">
      <c r="A18" s="2" t="n">
        <v>17</v>
      </c>
      <c r="B18" s="2" t="inlineStr">
        <is>
          <t>Eastgate Institute</t>
        </is>
      </c>
      <c r="C18" s="2" t="inlineStr">
        <is>
          <t>South</t>
        </is>
      </c>
      <c r="D18" s="2" t="inlineStr">
        <is>
          <t>Charter</t>
        </is>
      </c>
      <c r="E18" s="2" t="n">
        <v>743</v>
      </c>
      <c r="F18" s="2" t="n">
        <v>26</v>
      </c>
      <c r="G18" s="2" t="n">
        <v>28.6</v>
      </c>
      <c r="H18" s="2" t="n">
        <v>7566.19</v>
      </c>
      <c r="I18" s="2" t="n">
        <v>1627</v>
      </c>
      <c r="J18" s="2" t="n">
        <v>470</v>
      </c>
      <c r="K18" s="2" t="n">
        <v>0.63</v>
      </c>
      <c r="L18" s="2" t="n">
        <v>8</v>
      </c>
      <c r="M18" s="2" t="n">
        <v>9.9</v>
      </c>
      <c r="N18" s="2" t="n">
        <v>57.9</v>
      </c>
      <c r="O18" s="2" t="n">
        <v>94.2</v>
      </c>
      <c r="P18" s="2" t="n">
        <v>10.7</v>
      </c>
      <c r="Q18" s="2" t="n">
        <v>98</v>
      </c>
      <c r="R18" s="2" t="n">
        <v>83.5</v>
      </c>
      <c r="S18" s="2" t="n">
        <v>86.5</v>
      </c>
      <c r="T18" s="2" t="n">
        <v>90.09999999999999</v>
      </c>
      <c r="U18" s="2" t="n">
        <v>103.1</v>
      </c>
    </row>
    <row r="19">
      <c r="A19" s="3" t="n">
        <v>18</v>
      </c>
      <c r="B19" s="3" t="inlineStr">
        <is>
          <t>Lakeview School</t>
        </is>
      </c>
      <c r="C19" s="3" t="inlineStr">
        <is>
          <t>North</t>
        </is>
      </c>
      <c r="D19" s="3" t="inlineStr">
        <is>
          <t>Public</t>
        </is>
      </c>
      <c r="E19" s="3" t="n">
        <v>741</v>
      </c>
      <c r="F19" s="3" t="n">
        <v>24</v>
      </c>
      <c r="G19" s="3" t="n">
        <v>30.9</v>
      </c>
      <c r="H19" s="3" t="n">
        <v>7283.13</v>
      </c>
      <c r="I19" s="3" t="n">
        <v>9564</v>
      </c>
      <c r="J19" s="3" t="n">
        <v>99</v>
      </c>
      <c r="K19" s="3" t="n">
        <v>0.13</v>
      </c>
      <c r="L19" s="3" t="n">
        <v>9</v>
      </c>
      <c r="M19" s="3" t="n">
        <v>7.8</v>
      </c>
      <c r="N19" s="3" t="n">
        <v>60.5</v>
      </c>
      <c r="O19" s="3" t="n">
        <v>79.90000000000001</v>
      </c>
      <c r="P19" s="3" t="n">
        <v>10.5</v>
      </c>
      <c r="Q19" s="3" t="n">
        <v>98</v>
      </c>
      <c r="R19" s="3" t="n">
        <v>79.09999999999999</v>
      </c>
      <c r="S19" s="3" t="n">
        <v>90.5</v>
      </c>
      <c r="T19" s="3" t="n">
        <v>104.5</v>
      </c>
      <c r="U19" s="3" t="n">
        <v>90.8</v>
      </c>
    </row>
    <row r="20">
      <c r="A20" s="2" t="n">
        <v>19</v>
      </c>
      <c r="B20" s="2" t="inlineStr">
        <is>
          <t>Pinnacle High</t>
        </is>
      </c>
      <c r="C20" s="2" t="inlineStr">
        <is>
          <t>East</t>
        </is>
      </c>
      <c r="D20" s="2" t="inlineStr">
        <is>
          <t>Public</t>
        </is>
      </c>
      <c r="E20" s="2" t="n">
        <v>207</v>
      </c>
      <c r="F20" s="2" t="n">
        <v>52</v>
      </c>
      <c r="G20" s="2" t="n">
        <v>4</v>
      </c>
      <c r="H20" s="2" t="n">
        <v>6512.27</v>
      </c>
      <c r="I20" s="2" t="n">
        <v>4791</v>
      </c>
      <c r="J20" s="2" t="n">
        <v>102</v>
      </c>
      <c r="K20" s="2" t="n">
        <v>0.49</v>
      </c>
      <c r="L20" s="2" t="n">
        <v>15</v>
      </c>
      <c r="M20" s="2" t="n">
        <v>14.2</v>
      </c>
      <c r="N20" s="2" t="n">
        <v>71.40000000000001</v>
      </c>
      <c r="O20" s="2" t="n">
        <v>70.3</v>
      </c>
      <c r="P20" s="2" t="n">
        <v>1.6</v>
      </c>
      <c r="Q20" s="2" t="n">
        <v>98</v>
      </c>
      <c r="R20" s="2" t="n">
        <v>99</v>
      </c>
      <c r="S20" s="2" t="n">
        <v>87.5</v>
      </c>
      <c r="T20" s="2" t="n">
        <v>103.4</v>
      </c>
      <c r="U20" s="2" t="n">
        <v>99.3</v>
      </c>
    </row>
    <row r="21">
      <c r="A21" s="3" t="n">
        <v>20</v>
      </c>
      <c r="B21" s="3" t="inlineStr">
        <is>
          <t>Oakwood Secondary</t>
        </is>
      </c>
      <c r="C21" s="3" t="inlineStr">
        <is>
          <t>West</t>
        </is>
      </c>
      <c r="D21" s="3" t="inlineStr">
        <is>
          <t>Public</t>
        </is>
      </c>
      <c r="E21" s="3" t="n">
        <v>285</v>
      </c>
      <c r="F21" s="3" t="n">
        <v>49</v>
      </c>
      <c r="G21" s="3" t="n">
        <v>5.8</v>
      </c>
      <c r="H21" s="3" t="n">
        <v>3870.23</v>
      </c>
      <c r="I21" s="3" t="n">
        <v>1153</v>
      </c>
      <c r="J21" s="3" t="n">
        <v>480</v>
      </c>
      <c r="K21" s="3" t="n">
        <v>1.68</v>
      </c>
      <c r="L21" s="3" t="n">
        <v>12</v>
      </c>
      <c r="M21" s="3" t="n">
        <v>6</v>
      </c>
      <c r="N21" s="3" t="n">
        <v>62.5</v>
      </c>
      <c r="O21" s="3" t="n">
        <v>73</v>
      </c>
      <c r="P21" s="3" t="n">
        <v>11.8</v>
      </c>
      <c r="Q21" s="3" t="n">
        <v>94.5</v>
      </c>
      <c r="R21" s="3" t="n">
        <v>75.5</v>
      </c>
      <c r="S21" s="3" t="n">
        <v>83.3</v>
      </c>
      <c r="T21" s="3" t="n">
        <v>89</v>
      </c>
      <c r="U21" s="3" t="n">
        <v>101.4</v>
      </c>
    </row>
    <row r="22">
      <c r="A22" s="2" t="n">
        <v>21</v>
      </c>
      <c r="B22" s="2" t="inlineStr">
        <is>
          <t>Oakwood Secondary</t>
        </is>
      </c>
      <c r="C22" s="2" t="inlineStr">
        <is>
          <t>South</t>
        </is>
      </c>
      <c r="D22" s="2" t="inlineStr">
        <is>
          <t>Private</t>
        </is>
      </c>
      <c r="E22" s="2" t="n">
        <v>250</v>
      </c>
      <c r="F22" s="2" t="n">
        <v>32</v>
      </c>
      <c r="G22" s="2" t="n">
        <v>7.8</v>
      </c>
      <c r="H22" s="2" t="n">
        <v>6287.67</v>
      </c>
      <c r="I22" s="2" t="n">
        <v>5942</v>
      </c>
      <c r="J22" s="2" t="n">
        <v>420</v>
      </c>
      <c r="K22" s="2" t="n">
        <v>1.68</v>
      </c>
      <c r="L22" s="2" t="n">
        <v>14</v>
      </c>
      <c r="M22" s="2" t="n">
        <v>20.3</v>
      </c>
      <c r="N22" s="2" t="n">
        <v>93.2</v>
      </c>
      <c r="O22" s="2" t="n">
        <v>93.5</v>
      </c>
      <c r="P22" s="2" t="n">
        <v>4.4</v>
      </c>
      <c r="Q22" s="2" t="n">
        <v>98</v>
      </c>
      <c r="R22" s="2" t="n">
        <v>87.3</v>
      </c>
      <c r="S22" s="2" t="n">
        <v>84.3</v>
      </c>
      <c r="T22" s="2" t="n">
        <v>103.7</v>
      </c>
      <c r="U22" s="2" t="n">
        <v>93.59999999999999</v>
      </c>
    </row>
    <row r="23">
      <c r="A23" s="3" t="n">
        <v>22</v>
      </c>
      <c r="B23" s="3" t="inlineStr">
        <is>
          <t>Westbrook School</t>
        </is>
      </c>
      <c r="C23" s="3" t="inlineStr">
        <is>
          <t>East</t>
        </is>
      </c>
      <c r="D23" s="3" t="inlineStr">
        <is>
          <t>Private</t>
        </is>
      </c>
      <c r="E23" s="3" t="n">
        <v>1880</v>
      </c>
      <c r="F23" s="3" t="n">
        <v>111</v>
      </c>
      <c r="G23" s="3" t="n">
        <v>16.9</v>
      </c>
      <c r="H23" s="3" t="n">
        <v>7163.6</v>
      </c>
      <c r="I23" s="3" t="n">
        <v>4152</v>
      </c>
      <c r="J23" s="3" t="n">
        <v>32</v>
      </c>
      <c r="K23" s="3" t="n">
        <v>0.02</v>
      </c>
      <c r="L23" s="3" t="n">
        <v>7</v>
      </c>
      <c r="M23" s="3" t="n">
        <v>10.6</v>
      </c>
      <c r="N23" s="3" t="n">
        <v>63.9</v>
      </c>
      <c r="O23" s="3" t="n">
        <v>72</v>
      </c>
      <c r="P23" s="3" t="n">
        <v>11.7</v>
      </c>
      <c r="Q23" s="3" t="n">
        <v>94.8</v>
      </c>
      <c r="R23" s="3" t="n">
        <v>76.7</v>
      </c>
      <c r="S23" s="3" t="n">
        <v>83</v>
      </c>
      <c r="T23" s="3" t="n">
        <v>100.3</v>
      </c>
      <c r="U23" s="3" t="n">
        <v>92.09999999999999</v>
      </c>
    </row>
    <row r="24">
      <c r="A24" s="2" t="n">
        <v>23</v>
      </c>
      <c r="B24" s="2" t="inlineStr">
        <is>
          <t>Greenfield Academy</t>
        </is>
      </c>
      <c r="C24" s="2" t="inlineStr">
        <is>
          <t>North</t>
        </is>
      </c>
      <c r="D24" s="2" t="inlineStr">
        <is>
          <t>Private</t>
        </is>
      </c>
      <c r="E24" s="2" t="n">
        <v>565</v>
      </c>
      <c r="F24" s="2" t="n">
        <v>84</v>
      </c>
      <c r="G24" s="2" t="n">
        <v>6.7</v>
      </c>
      <c r="H24" s="2" t="n">
        <v>7756.47</v>
      </c>
      <c r="I24" s="2" t="n">
        <v>4849</v>
      </c>
      <c r="J24" s="2" t="n">
        <v>39</v>
      </c>
      <c r="K24" s="2" t="n">
        <v>0.07000000000000001</v>
      </c>
      <c r="L24" s="2" t="n">
        <v>4</v>
      </c>
      <c r="M24" s="2" t="n">
        <v>15.3</v>
      </c>
      <c r="N24" s="2" t="n">
        <v>67.3</v>
      </c>
      <c r="O24" s="2" t="n">
        <v>92.8</v>
      </c>
      <c r="P24" s="2" t="n">
        <v>6.8</v>
      </c>
      <c r="Q24" s="2" t="n">
        <v>98</v>
      </c>
      <c r="R24" s="2" t="n">
        <v>82.59999999999999</v>
      </c>
      <c r="S24" s="2" t="n">
        <v>84</v>
      </c>
      <c r="T24" s="2" t="n">
        <v>93</v>
      </c>
      <c r="U24" s="2" t="n">
        <v>90.7</v>
      </c>
    </row>
    <row r="25">
      <c r="A25" s="3" t="n">
        <v>24</v>
      </c>
      <c r="B25" s="3" t="inlineStr">
        <is>
          <t>Pinnacle High</t>
        </is>
      </c>
      <c r="C25" s="3" t="inlineStr">
        <is>
          <t>North</t>
        </is>
      </c>
      <c r="D25" s="3" t="inlineStr">
        <is>
          <t>Charter</t>
        </is>
      </c>
      <c r="E25" s="3" t="n">
        <v>1851</v>
      </c>
      <c r="F25" s="3" t="n">
        <v>78</v>
      </c>
      <c r="G25" s="3" t="n">
        <v>23.7</v>
      </c>
      <c r="H25" s="3" t="n">
        <v>5964.57</v>
      </c>
      <c r="I25" s="3" t="n">
        <v>3728</v>
      </c>
      <c r="J25" s="3" t="n">
        <v>206</v>
      </c>
      <c r="K25" s="3" t="n">
        <v>0.11</v>
      </c>
      <c r="L25" s="3" t="n">
        <v>14</v>
      </c>
      <c r="M25" s="3" t="n">
        <v>2.7</v>
      </c>
      <c r="N25" s="3" t="n">
        <v>83.2</v>
      </c>
      <c r="O25" s="3" t="n">
        <v>79.59999999999999</v>
      </c>
      <c r="P25" s="3" t="n">
        <v>5.1</v>
      </c>
      <c r="Q25" s="3" t="n">
        <v>98</v>
      </c>
      <c r="R25" s="3" t="n">
        <v>92</v>
      </c>
      <c r="S25" s="3" t="n">
        <v>90</v>
      </c>
      <c r="T25" s="3" t="n">
        <v>94.90000000000001</v>
      </c>
      <c r="U25" s="3" t="n">
        <v>96.5</v>
      </c>
    </row>
    <row r="26">
      <c r="A26" s="2" t="n">
        <v>25</v>
      </c>
      <c r="B26" s="2" t="inlineStr">
        <is>
          <t>Pinnacle High</t>
        </is>
      </c>
      <c r="C26" s="2" t="inlineStr">
        <is>
          <t>East</t>
        </is>
      </c>
      <c r="D26" s="2" t="inlineStr">
        <is>
          <t>Charter</t>
        </is>
      </c>
      <c r="E26" s="2" t="n">
        <v>460</v>
      </c>
      <c r="F26" s="2" t="n">
        <v>34</v>
      </c>
      <c r="G26" s="2" t="n">
        <v>13.5</v>
      </c>
      <c r="H26" s="2" t="n">
        <v>4232.9</v>
      </c>
      <c r="I26" s="2" t="n">
        <v>6711</v>
      </c>
      <c r="J26" s="2" t="n">
        <v>366</v>
      </c>
      <c r="K26" s="2" t="n">
        <v>0.8</v>
      </c>
      <c r="L26" s="2" t="n">
        <v>6</v>
      </c>
      <c r="M26" s="2" t="n">
        <v>15.8</v>
      </c>
      <c r="N26" s="2" t="n">
        <v>65</v>
      </c>
      <c r="O26" s="2" t="n">
        <v>85.90000000000001</v>
      </c>
      <c r="P26" s="2" t="n">
        <v>0.5</v>
      </c>
      <c r="Q26" s="2" t="n">
        <v>82.8</v>
      </c>
      <c r="R26" s="2" t="n">
        <v>98.3</v>
      </c>
      <c r="S26" s="2" t="n">
        <v>72</v>
      </c>
      <c r="T26" s="2" t="n">
        <v>85.3</v>
      </c>
      <c r="U26" s="2" t="n">
        <v>82.2</v>
      </c>
    </row>
    <row r="27">
      <c r="A27" s="3" t="n">
        <v>26</v>
      </c>
      <c r="B27" s="3" t="inlineStr">
        <is>
          <t>Westbrook School</t>
        </is>
      </c>
      <c r="C27" s="3" t="inlineStr">
        <is>
          <t>South</t>
        </is>
      </c>
      <c r="D27" s="3" t="inlineStr">
        <is>
          <t>Charter</t>
        </is>
      </c>
      <c r="E27" s="3" t="n">
        <v>1169</v>
      </c>
      <c r="F27" s="3" t="n">
        <v>111</v>
      </c>
      <c r="G27" s="3" t="n">
        <v>10.5</v>
      </c>
      <c r="H27" s="3" t="n">
        <v>7357.68</v>
      </c>
      <c r="I27" s="3" t="n">
        <v>3280</v>
      </c>
      <c r="J27" s="3" t="n">
        <v>357</v>
      </c>
      <c r="K27" s="3" t="n">
        <v>0.31</v>
      </c>
      <c r="L27" s="3" t="n">
        <v>3</v>
      </c>
      <c r="M27" s="3" t="n">
        <v>7.8</v>
      </c>
      <c r="N27" s="3" t="n">
        <v>83.2</v>
      </c>
      <c r="O27" s="3" t="n">
        <v>88</v>
      </c>
      <c r="P27" s="3" t="n">
        <v>1.9</v>
      </c>
      <c r="Q27" s="3" t="n">
        <v>98</v>
      </c>
      <c r="R27" s="3" t="n">
        <v>93.5</v>
      </c>
      <c r="S27" s="3" t="n">
        <v>89.90000000000001</v>
      </c>
      <c r="T27" s="3" t="n">
        <v>102.9</v>
      </c>
      <c r="U27" s="3" t="n">
        <v>92.40000000000001</v>
      </c>
    </row>
    <row r="28">
      <c r="A28" s="2" t="n">
        <v>27</v>
      </c>
      <c r="B28" s="2" t="inlineStr">
        <is>
          <t>Greenfield Academy</t>
        </is>
      </c>
      <c r="C28" s="2" t="inlineStr">
        <is>
          <t>South</t>
        </is>
      </c>
      <c r="D28" s="2" t="inlineStr">
        <is>
          <t>Private</t>
        </is>
      </c>
      <c r="E28" s="2" t="n">
        <v>1451</v>
      </c>
      <c r="F28" s="2" t="n">
        <v>118</v>
      </c>
      <c r="G28" s="2" t="n">
        <v>12.3</v>
      </c>
      <c r="H28" s="2" t="n">
        <v>6495.18</v>
      </c>
      <c r="I28" s="2" t="n">
        <v>7961</v>
      </c>
      <c r="J28" s="2" t="n">
        <v>232</v>
      </c>
      <c r="K28" s="2" t="n">
        <v>0.16</v>
      </c>
      <c r="L28" s="2" t="n">
        <v>19</v>
      </c>
      <c r="M28" s="2" t="n">
        <v>5.7</v>
      </c>
      <c r="N28" s="2" t="n">
        <v>84.8</v>
      </c>
      <c r="O28" s="2" t="n">
        <v>84.3</v>
      </c>
      <c r="P28" s="2" t="n">
        <v>4</v>
      </c>
      <c r="Q28" s="2" t="n">
        <v>98</v>
      </c>
      <c r="R28" s="2" t="n">
        <v>87.09999999999999</v>
      </c>
      <c r="S28" s="2" t="n">
        <v>85.5</v>
      </c>
      <c r="T28" s="2" t="n">
        <v>102.3</v>
      </c>
      <c r="U28" s="2" t="n">
        <v>91.7</v>
      </c>
    </row>
    <row r="29">
      <c r="A29" s="3" t="n">
        <v>28</v>
      </c>
      <c r="B29" s="3" t="inlineStr">
        <is>
          <t>Pinnacle High</t>
        </is>
      </c>
      <c r="C29" s="3" t="inlineStr">
        <is>
          <t>South</t>
        </is>
      </c>
      <c r="D29" s="3" t="inlineStr">
        <is>
          <t>Public</t>
        </is>
      </c>
      <c r="E29" s="3" t="n">
        <v>1846</v>
      </c>
      <c r="F29" s="3" t="n">
        <v>99</v>
      </c>
      <c r="G29" s="3" t="n">
        <v>18.6</v>
      </c>
      <c r="H29" s="3" t="n">
        <v>4866.73</v>
      </c>
      <c r="I29" s="3" t="n">
        <v>1322</v>
      </c>
      <c r="J29" s="3" t="n">
        <v>305</v>
      </c>
      <c r="K29" s="3" t="n">
        <v>0.17</v>
      </c>
      <c r="L29" s="3" t="n">
        <v>8</v>
      </c>
      <c r="M29" s="3" t="n">
        <v>23</v>
      </c>
      <c r="N29" s="3" t="n">
        <v>56.1</v>
      </c>
      <c r="O29" s="3" t="n">
        <v>73.90000000000001</v>
      </c>
      <c r="P29" s="3" t="n">
        <v>7.2</v>
      </c>
      <c r="Q29" s="3" t="n">
        <v>85.2</v>
      </c>
      <c r="R29" s="3" t="n">
        <v>86.2</v>
      </c>
      <c r="S29" s="3" t="n">
        <v>77</v>
      </c>
      <c r="T29" s="3" t="n">
        <v>89.3</v>
      </c>
      <c r="U29" s="3" t="n">
        <v>84.3</v>
      </c>
    </row>
    <row r="30">
      <c r="A30" s="2" t="n">
        <v>29</v>
      </c>
      <c r="B30" s="2" t="inlineStr">
        <is>
          <t>Eastgate Institute</t>
        </is>
      </c>
      <c r="C30" s="2" t="inlineStr">
        <is>
          <t>West</t>
        </is>
      </c>
      <c r="D30" s="2" t="inlineStr">
        <is>
          <t>Charter</t>
        </is>
      </c>
      <c r="E30" s="2" t="n">
        <v>1113</v>
      </c>
      <c r="F30" s="2" t="n">
        <v>30</v>
      </c>
      <c r="G30" s="2" t="n">
        <v>37.1</v>
      </c>
      <c r="H30" s="2" t="n">
        <v>6333.76</v>
      </c>
      <c r="I30" s="2" t="n">
        <v>8277</v>
      </c>
      <c r="J30" s="2" t="n">
        <v>250</v>
      </c>
      <c r="K30" s="2" t="n">
        <v>0.22</v>
      </c>
      <c r="L30" s="2" t="n">
        <v>9</v>
      </c>
      <c r="M30" s="2" t="n">
        <v>19</v>
      </c>
      <c r="N30" s="2" t="n">
        <v>92</v>
      </c>
      <c r="O30" s="2" t="n">
        <v>78</v>
      </c>
      <c r="P30" s="2" t="n">
        <v>11.8</v>
      </c>
      <c r="Q30" s="2" t="n">
        <v>88.3</v>
      </c>
      <c r="R30" s="2" t="n">
        <v>73.8</v>
      </c>
      <c r="S30" s="2" t="n">
        <v>78.90000000000001</v>
      </c>
      <c r="T30" s="2" t="n">
        <v>91.7</v>
      </c>
      <c r="U30" s="2" t="n">
        <v>84.09999999999999</v>
      </c>
    </row>
    <row r="31">
      <c r="A31" s="3" t="n">
        <v>30</v>
      </c>
      <c r="B31" s="3" t="inlineStr">
        <is>
          <t>Sunrise Academy</t>
        </is>
      </c>
      <c r="C31" s="3" t="inlineStr">
        <is>
          <t>East</t>
        </is>
      </c>
      <c r="D31" s="3" t="inlineStr">
        <is>
          <t>Charter</t>
        </is>
      </c>
      <c r="E31" s="3" t="n">
        <v>365</v>
      </c>
      <c r="F31" s="3" t="n">
        <v>27</v>
      </c>
      <c r="G31" s="3" t="n">
        <v>13.5</v>
      </c>
      <c r="H31" s="3" t="n">
        <v>2480.4</v>
      </c>
      <c r="I31" s="3" t="n">
        <v>6775</v>
      </c>
      <c r="J31" s="3" t="n">
        <v>375</v>
      </c>
      <c r="K31" s="3" t="n">
        <v>1.03</v>
      </c>
      <c r="L31" s="3" t="n">
        <v>5</v>
      </c>
      <c r="M31" s="3" t="n">
        <v>18</v>
      </c>
      <c r="N31" s="3" t="n">
        <v>53.2</v>
      </c>
      <c r="O31" s="3" t="n">
        <v>81.8</v>
      </c>
      <c r="P31" s="3" t="n">
        <v>8.4</v>
      </c>
      <c r="Q31" s="3" t="n">
        <v>74.2</v>
      </c>
      <c r="R31" s="3" t="n">
        <v>80.3</v>
      </c>
      <c r="S31" s="3" t="n">
        <v>65</v>
      </c>
      <c r="T31" s="3" t="n">
        <v>80.7</v>
      </c>
      <c r="U31" s="3" t="n">
        <v>75.5</v>
      </c>
    </row>
    <row r="32">
      <c r="A32" s="2" t="n">
        <v>31</v>
      </c>
      <c r="B32" s="2" t="inlineStr">
        <is>
          <t>Greenfield Academy</t>
        </is>
      </c>
      <c r="C32" s="2" t="inlineStr">
        <is>
          <t>Central</t>
        </is>
      </c>
      <c r="D32" s="2" t="inlineStr">
        <is>
          <t>Private</t>
        </is>
      </c>
      <c r="E32" s="2" t="n">
        <v>1176</v>
      </c>
      <c r="F32" s="2" t="n">
        <v>10</v>
      </c>
      <c r="G32" s="2" t="n">
        <v>117.6</v>
      </c>
      <c r="H32" s="2" t="n">
        <v>7627.82</v>
      </c>
      <c r="I32" s="2" t="n">
        <v>5392</v>
      </c>
      <c r="J32" s="2" t="n">
        <v>405</v>
      </c>
      <c r="K32" s="2" t="n">
        <v>0.34</v>
      </c>
      <c r="L32" s="2" t="n">
        <v>13</v>
      </c>
      <c r="M32" s="2" t="n">
        <v>21.5</v>
      </c>
      <c r="N32" s="2" t="n">
        <v>97.7</v>
      </c>
      <c r="O32" s="2" t="n">
        <v>82.2</v>
      </c>
      <c r="P32" s="2" t="n">
        <v>11.3</v>
      </c>
      <c r="Q32" s="2" t="n">
        <v>57.2</v>
      </c>
      <c r="R32" s="2" t="n">
        <v>78.40000000000001</v>
      </c>
      <c r="S32" s="2" t="n">
        <v>50</v>
      </c>
      <c r="T32" s="2" t="n">
        <v>52.7</v>
      </c>
      <c r="U32" s="2" t="n">
        <v>56.2</v>
      </c>
    </row>
    <row r="33">
      <c r="A33" s="3" t="n">
        <v>32</v>
      </c>
      <c r="B33" s="3" t="inlineStr">
        <is>
          <t>Greenfield Academy</t>
        </is>
      </c>
      <c r="C33" s="3" t="inlineStr">
        <is>
          <t>West</t>
        </is>
      </c>
      <c r="D33" s="3" t="inlineStr">
        <is>
          <t>Private</t>
        </is>
      </c>
      <c r="E33" s="3" t="n">
        <v>1569</v>
      </c>
      <c r="F33" s="3" t="n">
        <v>96</v>
      </c>
      <c r="G33" s="3" t="n">
        <v>16.3</v>
      </c>
      <c r="H33" s="3" t="n">
        <v>6687.93</v>
      </c>
      <c r="I33" s="3" t="n">
        <v>3204</v>
      </c>
      <c r="J33" s="3" t="n">
        <v>450</v>
      </c>
      <c r="K33" s="3" t="n">
        <v>0.29</v>
      </c>
      <c r="L33" s="3" t="n">
        <v>15</v>
      </c>
      <c r="M33" s="3" t="n">
        <v>23.1</v>
      </c>
      <c r="N33" s="3" t="n">
        <v>99</v>
      </c>
      <c r="O33" s="3" t="n">
        <v>85.5</v>
      </c>
      <c r="P33" s="3" t="n">
        <v>13.7</v>
      </c>
      <c r="Q33" s="3" t="n">
        <v>98</v>
      </c>
      <c r="R33" s="3" t="n">
        <v>74.2</v>
      </c>
      <c r="S33" s="3" t="n">
        <v>92.2</v>
      </c>
      <c r="T33" s="3" t="n">
        <v>96.90000000000001</v>
      </c>
      <c r="U33" s="3" t="n">
        <v>103.9</v>
      </c>
    </row>
    <row r="34">
      <c r="A34" s="2" t="n">
        <v>33</v>
      </c>
      <c r="B34" s="2" t="inlineStr">
        <is>
          <t>Oakwood Secondary</t>
        </is>
      </c>
      <c r="C34" s="2" t="inlineStr">
        <is>
          <t>North</t>
        </is>
      </c>
      <c r="D34" s="2" t="inlineStr">
        <is>
          <t>Private</t>
        </is>
      </c>
      <c r="E34" s="2" t="n">
        <v>976</v>
      </c>
      <c r="F34" s="2" t="n">
        <v>51</v>
      </c>
      <c r="G34" s="2" t="n">
        <v>19.1</v>
      </c>
      <c r="H34" s="2" t="n">
        <v>2875.79</v>
      </c>
      <c r="I34" s="2" t="n">
        <v>5855</v>
      </c>
      <c r="J34" s="2" t="n">
        <v>192</v>
      </c>
      <c r="K34" s="2" t="n">
        <v>0.2</v>
      </c>
      <c r="L34" s="2" t="n">
        <v>13</v>
      </c>
      <c r="M34" s="2" t="n">
        <v>7.7</v>
      </c>
      <c r="N34" s="2" t="n">
        <v>97.59999999999999</v>
      </c>
      <c r="O34" s="2" t="n">
        <v>82.2</v>
      </c>
      <c r="P34" s="2" t="n">
        <v>12.6</v>
      </c>
      <c r="Q34" s="2" t="n">
        <v>81.2</v>
      </c>
      <c r="R34" s="2" t="n">
        <v>77.3</v>
      </c>
      <c r="S34" s="2" t="n">
        <v>75.7</v>
      </c>
      <c r="T34" s="2" t="n">
        <v>88.40000000000001</v>
      </c>
      <c r="U34" s="2" t="n">
        <v>76.8</v>
      </c>
    </row>
    <row r="35">
      <c r="A35" s="3" t="n">
        <v>34</v>
      </c>
      <c r="B35" s="3" t="inlineStr">
        <is>
          <t>Riverside High</t>
        </is>
      </c>
      <c r="C35" s="3" t="inlineStr">
        <is>
          <t>North</t>
        </is>
      </c>
      <c r="D35" s="3" t="inlineStr">
        <is>
          <t>Public</t>
        </is>
      </c>
      <c r="E35" s="3" t="n">
        <v>706</v>
      </c>
      <c r="F35" s="3" t="n">
        <v>35</v>
      </c>
      <c r="G35" s="3" t="n">
        <v>20.2</v>
      </c>
      <c r="H35" s="3" t="n">
        <v>6954.99</v>
      </c>
      <c r="I35" s="3" t="n">
        <v>2996</v>
      </c>
      <c r="J35" s="3" t="n">
        <v>142</v>
      </c>
      <c r="K35" s="3" t="n">
        <v>0.2</v>
      </c>
      <c r="L35" s="3" t="n">
        <v>5</v>
      </c>
      <c r="M35" s="3" t="n">
        <v>12.4</v>
      </c>
      <c r="N35" s="3" t="n">
        <v>55.7</v>
      </c>
      <c r="O35" s="3" t="n">
        <v>97.5</v>
      </c>
      <c r="P35" s="3" t="n">
        <v>7.2</v>
      </c>
      <c r="Q35" s="3" t="n">
        <v>92.8</v>
      </c>
      <c r="R35" s="3" t="n">
        <v>84.3</v>
      </c>
      <c r="S35" s="3" t="n">
        <v>81.7</v>
      </c>
      <c r="T35" s="3" t="n">
        <v>100.2</v>
      </c>
      <c r="U35" s="3" t="n">
        <v>96.3</v>
      </c>
    </row>
    <row r="36">
      <c r="A36" s="2" t="n">
        <v>35</v>
      </c>
      <c r="B36" s="2" t="inlineStr">
        <is>
          <t>Oakwood Secondary</t>
        </is>
      </c>
      <c r="C36" s="2" t="inlineStr">
        <is>
          <t>East</t>
        </is>
      </c>
      <c r="D36" s="2" t="inlineStr">
        <is>
          <t>Public</t>
        </is>
      </c>
      <c r="E36" s="2" t="n">
        <v>1385</v>
      </c>
      <c r="F36" s="2" t="n">
        <v>13</v>
      </c>
      <c r="G36" s="2" t="n">
        <v>106.5</v>
      </c>
      <c r="H36" s="2" t="n">
        <v>7537.77</v>
      </c>
      <c r="I36" s="2" t="n">
        <v>9933</v>
      </c>
      <c r="J36" s="2" t="n">
        <v>366</v>
      </c>
      <c r="K36" s="2" t="n">
        <v>0.26</v>
      </c>
      <c r="L36" s="2" t="n">
        <v>13</v>
      </c>
      <c r="M36" s="2" t="n">
        <v>10.5</v>
      </c>
      <c r="N36" s="2" t="n">
        <v>85.8</v>
      </c>
      <c r="O36" s="2" t="n">
        <v>72.2</v>
      </c>
      <c r="P36" s="2" t="n">
        <v>10.5</v>
      </c>
      <c r="Q36" s="2" t="n">
        <v>60.7</v>
      </c>
      <c r="R36" s="2" t="n">
        <v>75</v>
      </c>
      <c r="S36" s="2" t="n">
        <v>48</v>
      </c>
      <c r="T36" s="2" t="n">
        <v>66.3</v>
      </c>
      <c r="U36" s="2" t="n">
        <v>62.3</v>
      </c>
    </row>
    <row r="37">
      <c r="A37" s="3" t="n">
        <v>36</v>
      </c>
      <c r="B37" s="3" t="inlineStr">
        <is>
          <t>Riverside High</t>
        </is>
      </c>
      <c r="C37" s="3" t="inlineStr">
        <is>
          <t>Central</t>
        </is>
      </c>
      <c r="D37" s="3" t="inlineStr">
        <is>
          <t>Public</t>
        </is>
      </c>
      <c r="E37" s="3" t="n">
        <v>911</v>
      </c>
      <c r="F37" s="3" t="n">
        <v>78</v>
      </c>
      <c r="G37" s="3" t="n">
        <v>11.7</v>
      </c>
      <c r="H37" s="3" t="n">
        <v>4284.46</v>
      </c>
      <c r="I37" s="3" t="n">
        <v>6571</v>
      </c>
      <c r="J37" s="3" t="n">
        <v>55</v>
      </c>
      <c r="K37" s="3" t="n">
        <v>0.06</v>
      </c>
      <c r="L37" s="3" t="n">
        <v>17</v>
      </c>
      <c r="M37" s="3" t="n">
        <v>16.5</v>
      </c>
      <c r="N37" s="3" t="n">
        <v>50.6</v>
      </c>
      <c r="O37" s="3" t="n">
        <v>82.2</v>
      </c>
      <c r="P37" s="3" t="n">
        <v>7.6</v>
      </c>
      <c r="Q37" s="3" t="n">
        <v>84.2</v>
      </c>
      <c r="R37" s="3" t="n">
        <v>83.40000000000001</v>
      </c>
      <c r="S37" s="3" t="n">
        <v>70.3</v>
      </c>
      <c r="T37" s="3" t="n">
        <v>83.59999999999999</v>
      </c>
      <c r="U37" s="3" t="n">
        <v>78.59999999999999</v>
      </c>
    </row>
    <row r="38">
      <c r="A38" s="2" t="n">
        <v>37</v>
      </c>
      <c r="B38" s="2" t="inlineStr">
        <is>
          <t>Oakwood Secondary</t>
        </is>
      </c>
      <c r="C38" s="2" t="inlineStr">
        <is>
          <t>Central</t>
        </is>
      </c>
      <c r="D38" s="2" t="inlineStr">
        <is>
          <t>Charter</t>
        </is>
      </c>
      <c r="E38" s="2" t="n">
        <v>753</v>
      </c>
      <c r="F38" s="2" t="n">
        <v>88</v>
      </c>
      <c r="G38" s="2" t="n">
        <v>8.6</v>
      </c>
      <c r="H38" s="2" t="n">
        <v>6753.29</v>
      </c>
      <c r="I38" s="2" t="n">
        <v>9317</v>
      </c>
      <c r="J38" s="2" t="n">
        <v>416</v>
      </c>
      <c r="K38" s="2" t="n">
        <v>0.55</v>
      </c>
      <c r="L38" s="2" t="n">
        <v>16</v>
      </c>
      <c r="M38" s="2" t="n">
        <v>12.2</v>
      </c>
      <c r="N38" s="2" t="n">
        <v>91.3</v>
      </c>
      <c r="O38" s="2" t="n">
        <v>87.2</v>
      </c>
      <c r="P38" s="2" t="n">
        <v>5.2</v>
      </c>
      <c r="Q38" s="2" t="n">
        <v>98</v>
      </c>
      <c r="R38" s="2" t="n">
        <v>93.90000000000001</v>
      </c>
      <c r="S38" s="2" t="n">
        <v>90.2</v>
      </c>
      <c r="T38" s="2" t="n">
        <v>97.2</v>
      </c>
      <c r="U38" s="2" t="n">
        <v>102</v>
      </c>
    </row>
    <row r="39">
      <c r="A39" s="3" t="n">
        <v>38</v>
      </c>
      <c r="B39" s="3" t="inlineStr">
        <is>
          <t>Northfield Academy</t>
        </is>
      </c>
      <c r="C39" s="3" t="inlineStr">
        <is>
          <t>Central</t>
        </is>
      </c>
      <c r="D39" s="3" t="inlineStr">
        <is>
          <t>Charter</t>
        </is>
      </c>
      <c r="E39" s="3" t="n">
        <v>976</v>
      </c>
      <c r="F39" s="3" t="n">
        <v>53</v>
      </c>
      <c r="G39" s="3" t="n">
        <v>18.4</v>
      </c>
      <c r="H39" s="3" t="n">
        <v>1686.55</v>
      </c>
      <c r="I39" s="3" t="n">
        <v>5825</v>
      </c>
      <c r="J39" s="3" t="n">
        <v>113</v>
      </c>
      <c r="K39" s="3" t="n">
        <v>0.12</v>
      </c>
      <c r="L39" s="3" t="n">
        <v>16</v>
      </c>
      <c r="M39" s="3" t="n">
        <v>6.1</v>
      </c>
      <c r="N39" s="3" t="n">
        <v>89.90000000000001</v>
      </c>
      <c r="O39" s="3" t="n">
        <v>79.90000000000001</v>
      </c>
      <c r="P39" s="3" t="n">
        <v>13.3</v>
      </c>
      <c r="Q39" s="3" t="n">
        <v>78.7</v>
      </c>
      <c r="R39" s="3" t="n">
        <v>71.2</v>
      </c>
      <c r="S39" s="3" t="n">
        <v>73.59999999999999</v>
      </c>
      <c r="T39" s="3" t="n">
        <v>85.90000000000001</v>
      </c>
      <c r="U39" s="3" t="n">
        <v>72.09999999999999</v>
      </c>
    </row>
    <row r="40">
      <c r="A40" s="2" t="n">
        <v>39</v>
      </c>
      <c r="B40" s="2" t="inlineStr">
        <is>
          <t>Pinnacle High</t>
        </is>
      </c>
      <c r="C40" s="2" t="inlineStr">
        <is>
          <t>West</t>
        </is>
      </c>
      <c r="D40" s="2" t="inlineStr">
        <is>
          <t>Charter</t>
        </is>
      </c>
      <c r="E40" s="2" t="n">
        <v>1752</v>
      </c>
      <c r="F40" s="2" t="n">
        <v>40</v>
      </c>
      <c r="G40" s="2" t="n">
        <v>43.8</v>
      </c>
      <c r="H40" s="2" t="n">
        <v>5988.96</v>
      </c>
      <c r="I40" s="2" t="n">
        <v>8541</v>
      </c>
      <c r="J40" s="2" t="n">
        <v>249</v>
      </c>
      <c r="K40" s="2" t="n">
        <v>0.14</v>
      </c>
      <c r="L40" s="2" t="n">
        <v>1</v>
      </c>
      <c r="M40" s="2" t="n">
        <v>3.2</v>
      </c>
      <c r="N40" s="2" t="n">
        <v>61.1</v>
      </c>
      <c r="O40" s="2" t="n">
        <v>90.09999999999999</v>
      </c>
      <c r="P40" s="2" t="n">
        <v>4.9</v>
      </c>
      <c r="Q40" s="2" t="n">
        <v>82.40000000000001</v>
      </c>
      <c r="R40" s="2" t="n">
        <v>89.90000000000001</v>
      </c>
      <c r="S40" s="2" t="n">
        <v>72.09999999999999</v>
      </c>
      <c r="T40" s="2" t="n">
        <v>81.2</v>
      </c>
      <c r="U40" s="2" t="n">
        <v>86.3</v>
      </c>
    </row>
    <row r="41">
      <c r="A41" s="3" t="n">
        <v>40</v>
      </c>
      <c r="B41" s="3" t="inlineStr">
        <is>
          <t>Sunrise Academy</t>
        </is>
      </c>
      <c r="C41" s="3" t="inlineStr">
        <is>
          <t>East</t>
        </is>
      </c>
      <c r="D41" s="3" t="inlineStr">
        <is>
          <t>Charter</t>
        </is>
      </c>
      <c r="E41" s="3" t="n">
        <v>1129</v>
      </c>
      <c r="F41" s="3" t="n">
        <v>44</v>
      </c>
      <c r="G41" s="3" t="n">
        <v>25.7</v>
      </c>
      <c r="H41" s="3" t="n">
        <v>3493.05</v>
      </c>
      <c r="I41" s="3" t="n">
        <v>4277</v>
      </c>
      <c r="J41" s="3" t="n">
        <v>81</v>
      </c>
      <c r="K41" s="3" t="n">
        <v>0.07000000000000001</v>
      </c>
      <c r="L41" s="3" t="n">
        <v>7</v>
      </c>
      <c r="M41" s="3" t="n">
        <v>8.6</v>
      </c>
      <c r="N41" s="3" t="n">
        <v>87.09999999999999</v>
      </c>
      <c r="O41" s="3" t="n">
        <v>97.59999999999999</v>
      </c>
      <c r="P41" s="3" t="n">
        <v>10.5</v>
      </c>
      <c r="Q41" s="3" t="n">
        <v>76.2</v>
      </c>
      <c r="R41" s="3" t="n">
        <v>81.40000000000001</v>
      </c>
      <c r="S41" s="3" t="n">
        <v>68.40000000000001</v>
      </c>
      <c r="T41" s="3" t="n">
        <v>77.59999999999999</v>
      </c>
      <c r="U41" s="3" t="n">
        <v>80.40000000000001</v>
      </c>
    </row>
    <row r="42">
      <c r="A42" s="2" t="n">
        <v>41</v>
      </c>
      <c r="B42" s="2" t="inlineStr">
        <is>
          <t>Northfield Academy</t>
        </is>
      </c>
      <c r="C42" s="2" t="inlineStr">
        <is>
          <t>East</t>
        </is>
      </c>
      <c r="D42" s="2" t="inlineStr">
        <is>
          <t>Public</t>
        </is>
      </c>
      <c r="E42" s="2" t="n">
        <v>1905</v>
      </c>
      <c r="F42" s="2" t="n">
        <v>34</v>
      </c>
      <c r="G42" s="2" t="n">
        <v>56</v>
      </c>
      <c r="H42" s="2" t="n">
        <v>3425.6</v>
      </c>
      <c r="I42" s="2" t="n">
        <v>6412</v>
      </c>
      <c r="J42" s="2" t="n">
        <v>111</v>
      </c>
      <c r="K42" s="2" t="n">
        <v>0.06</v>
      </c>
      <c r="L42" s="2" t="n">
        <v>10</v>
      </c>
      <c r="M42" s="2" t="n">
        <v>1.3</v>
      </c>
      <c r="N42" s="2" t="n">
        <v>76.7</v>
      </c>
      <c r="O42" s="2" t="n">
        <v>78</v>
      </c>
      <c r="P42" s="2" t="n">
        <v>14.6</v>
      </c>
      <c r="Q42" s="2" t="n">
        <v>63.4</v>
      </c>
      <c r="R42" s="2" t="n">
        <v>72.8</v>
      </c>
      <c r="S42" s="2" t="n">
        <v>57.1</v>
      </c>
      <c r="T42" s="2" t="n">
        <v>69.3</v>
      </c>
      <c r="U42" s="2" t="n">
        <v>63.3</v>
      </c>
    </row>
    <row r="43">
      <c r="A43" s="3" t="n">
        <v>42</v>
      </c>
      <c r="B43" s="3" t="inlineStr">
        <is>
          <t>Greenfield Academy</t>
        </is>
      </c>
      <c r="C43" s="3" t="inlineStr">
        <is>
          <t>Central</t>
        </is>
      </c>
      <c r="D43" s="3" t="inlineStr">
        <is>
          <t>Private</t>
        </is>
      </c>
      <c r="E43" s="3" t="n">
        <v>1161</v>
      </c>
      <c r="F43" s="3" t="n">
        <v>71</v>
      </c>
      <c r="G43" s="3" t="n">
        <v>16.4</v>
      </c>
      <c r="H43" s="3" t="n">
        <v>4363.05</v>
      </c>
      <c r="I43" s="3" t="n">
        <v>3520</v>
      </c>
      <c r="J43" s="3" t="n">
        <v>46</v>
      </c>
      <c r="K43" s="3" t="n">
        <v>0.04</v>
      </c>
      <c r="L43" s="3" t="n">
        <v>9</v>
      </c>
      <c r="M43" s="3" t="n">
        <v>23.6</v>
      </c>
      <c r="N43" s="3" t="n">
        <v>73.90000000000001</v>
      </c>
      <c r="O43" s="3" t="n">
        <v>93.8</v>
      </c>
      <c r="P43" s="3" t="n">
        <v>6.3</v>
      </c>
      <c r="Q43" s="3" t="n">
        <v>80.3</v>
      </c>
      <c r="R43" s="3" t="n">
        <v>88.7</v>
      </c>
      <c r="S43" s="3" t="n">
        <v>74.8</v>
      </c>
      <c r="T43" s="3" t="n">
        <v>74.7</v>
      </c>
      <c r="U43" s="3" t="n">
        <v>81.3</v>
      </c>
    </row>
    <row r="44">
      <c r="A44" s="2" t="n">
        <v>43</v>
      </c>
      <c r="B44" s="2" t="inlineStr">
        <is>
          <t>Lakeview School</t>
        </is>
      </c>
      <c r="C44" s="2" t="inlineStr">
        <is>
          <t>North</t>
        </is>
      </c>
      <c r="D44" s="2" t="inlineStr">
        <is>
          <t>Public</t>
        </is>
      </c>
      <c r="E44" s="2" t="n">
        <v>442</v>
      </c>
      <c r="F44" s="2" t="n">
        <v>81</v>
      </c>
      <c r="G44" s="2" t="n">
        <v>5.5</v>
      </c>
      <c r="H44" s="2" t="n">
        <v>6468.88</v>
      </c>
      <c r="I44" s="2" t="n">
        <v>4197</v>
      </c>
      <c r="J44" s="2" t="n">
        <v>417</v>
      </c>
      <c r="K44" s="2" t="n">
        <v>0.9399999999999999</v>
      </c>
      <c r="L44" s="2" t="n">
        <v>17</v>
      </c>
      <c r="M44" s="2" t="n">
        <v>10.1</v>
      </c>
      <c r="N44" s="2" t="n">
        <v>95.40000000000001</v>
      </c>
      <c r="O44" s="2" t="n">
        <v>78.59999999999999</v>
      </c>
      <c r="P44" s="2" t="n">
        <v>9</v>
      </c>
      <c r="Q44" s="2" t="n">
        <v>98</v>
      </c>
      <c r="R44" s="2" t="n">
        <v>82.7</v>
      </c>
      <c r="S44" s="2" t="n">
        <v>92.40000000000001</v>
      </c>
      <c r="T44" s="2" t="n">
        <v>105.4</v>
      </c>
      <c r="U44" s="2" t="n">
        <v>91.59999999999999</v>
      </c>
    </row>
    <row r="45">
      <c r="A45" s="3" t="n">
        <v>44</v>
      </c>
      <c r="B45" s="3" t="inlineStr">
        <is>
          <t>Hillcrest Institute</t>
        </is>
      </c>
      <c r="C45" s="3" t="inlineStr">
        <is>
          <t>South</t>
        </is>
      </c>
      <c r="D45" s="3" t="inlineStr">
        <is>
          <t>Private</t>
        </is>
      </c>
      <c r="E45" s="3" t="n">
        <v>1552</v>
      </c>
      <c r="F45" s="3" t="n">
        <v>20</v>
      </c>
      <c r="G45" s="3" t="n">
        <v>77.59999999999999</v>
      </c>
      <c r="H45" s="3" t="n">
        <v>2520.87</v>
      </c>
      <c r="I45" s="3" t="n">
        <v>3347</v>
      </c>
      <c r="J45" s="3" t="n">
        <v>302</v>
      </c>
      <c r="K45" s="3" t="n">
        <v>0.19</v>
      </c>
      <c r="L45" s="3" t="n">
        <v>3</v>
      </c>
      <c r="M45" s="3" t="n">
        <v>4.8</v>
      </c>
      <c r="N45" s="3" t="n">
        <v>70.40000000000001</v>
      </c>
      <c r="O45" s="3" t="n">
        <v>90</v>
      </c>
      <c r="P45" s="3" t="n">
        <v>7.3</v>
      </c>
      <c r="Q45" s="3" t="n">
        <v>38.5</v>
      </c>
      <c r="R45" s="3" t="n">
        <v>83.3</v>
      </c>
      <c r="S45" s="3" t="n">
        <v>30.7</v>
      </c>
      <c r="T45" s="3" t="n">
        <v>44.3</v>
      </c>
      <c r="U45" s="3" t="n">
        <v>31.6</v>
      </c>
    </row>
    <row r="46">
      <c r="A46" s="2" t="n">
        <v>45</v>
      </c>
      <c r="B46" s="2" t="inlineStr">
        <is>
          <t>Hillcrest Institute</t>
        </is>
      </c>
      <c r="C46" s="2" t="inlineStr">
        <is>
          <t>East</t>
        </is>
      </c>
      <c r="D46" s="2" t="inlineStr">
        <is>
          <t>Charter</t>
        </is>
      </c>
      <c r="E46" s="2" t="n">
        <v>1407</v>
      </c>
      <c r="F46" s="2" t="n">
        <v>94</v>
      </c>
      <c r="G46" s="2" t="n">
        <v>15</v>
      </c>
      <c r="H46" s="2" t="n">
        <v>6725.39</v>
      </c>
      <c r="I46" s="2" t="n">
        <v>3741</v>
      </c>
      <c r="J46" s="2" t="n">
        <v>237</v>
      </c>
      <c r="K46" s="2" t="n">
        <v>0.17</v>
      </c>
      <c r="L46" s="2" t="n">
        <v>4</v>
      </c>
      <c r="M46" s="2" t="n">
        <v>14.1</v>
      </c>
      <c r="N46" s="2" t="n">
        <v>82.40000000000001</v>
      </c>
      <c r="O46" s="2" t="n">
        <v>96.3</v>
      </c>
      <c r="P46" s="2" t="n">
        <v>12.5</v>
      </c>
      <c r="Q46" s="2" t="n">
        <v>94.40000000000001</v>
      </c>
      <c r="R46" s="2" t="n">
        <v>71.7</v>
      </c>
      <c r="S46" s="2" t="n">
        <v>86.3</v>
      </c>
      <c r="T46" s="2" t="n">
        <v>98.40000000000001</v>
      </c>
      <c r="U46" s="2" t="n">
        <v>95.5</v>
      </c>
    </row>
    <row r="47">
      <c r="A47" s="3" t="n">
        <v>46</v>
      </c>
      <c r="B47" s="3" t="inlineStr">
        <is>
          <t>Lakeview School</t>
        </is>
      </c>
      <c r="C47" s="3" t="inlineStr">
        <is>
          <t>West</t>
        </is>
      </c>
      <c r="D47" s="3" t="inlineStr">
        <is>
          <t>Public</t>
        </is>
      </c>
      <c r="E47" s="3" t="n">
        <v>1159</v>
      </c>
      <c r="F47" s="3" t="n">
        <v>98</v>
      </c>
      <c r="G47" s="3" t="n">
        <v>11.8</v>
      </c>
      <c r="H47" s="3" t="n">
        <v>3476.59</v>
      </c>
      <c r="I47" s="3" t="n">
        <v>7094</v>
      </c>
      <c r="J47" s="3" t="n">
        <v>159</v>
      </c>
      <c r="K47" s="3" t="n">
        <v>0.14</v>
      </c>
      <c r="L47" s="3" t="n">
        <v>17</v>
      </c>
      <c r="M47" s="3" t="n">
        <v>14</v>
      </c>
      <c r="N47" s="3" t="n">
        <v>71.90000000000001</v>
      </c>
      <c r="O47" s="3" t="n">
        <v>87.3</v>
      </c>
      <c r="P47" s="3" t="n">
        <v>13.4</v>
      </c>
      <c r="Q47" s="3" t="n">
        <v>90.09999999999999</v>
      </c>
      <c r="R47" s="3" t="n">
        <v>74.2</v>
      </c>
      <c r="S47" s="3" t="n">
        <v>84.8</v>
      </c>
      <c r="T47" s="3" t="n">
        <v>85.8</v>
      </c>
      <c r="U47" s="3" t="n">
        <v>92.90000000000001</v>
      </c>
    </row>
    <row r="48">
      <c r="A48" s="2" t="n">
        <v>47</v>
      </c>
      <c r="B48" s="2" t="inlineStr">
        <is>
          <t>Northfield Academy</t>
        </is>
      </c>
      <c r="C48" s="2" t="inlineStr">
        <is>
          <t>Central</t>
        </is>
      </c>
      <c r="D48" s="2" t="inlineStr">
        <is>
          <t>Public</t>
        </is>
      </c>
      <c r="E48" s="2" t="n">
        <v>1766</v>
      </c>
      <c r="F48" s="2" t="n">
        <v>96</v>
      </c>
      <c r="G48" s="2" t="n">
        <v>18.4</v>
      </c>
      <c r="H48" s="2" t="n">
        <v>6839.24</v>
      </c>
      <c r="I48" s="2" t="n">
        <v>9941</v>
      </c>
      <c r="J48" s="2" t="n">
        <v>40</v>
      </c>
      <c r="K48" s="2" t="n">
        <v>0.02</v>
      </c>
      <c r="L48" s="2" t="n">
        <v>6</v>
      </c>
      <c r="M48" s="2" t="n">
        <v>12.3</v>
      </c>
      <c r="N48" s="2" t="n">
        <v>82.59999999999999</v>
      </c>
      <c r="O48" s="2" t="n">
        <v>96.59999999999999</v>
      </c>
      <c r="P48" s="2" t="n">
        <v>3.1</v>
      </c>
      <c r="Q48" s="2" t="n">
        <v>98</v>
      </c>
      <c r="R48" s="2" t="n">
        <v>95.09999999999999</v>
      </c>
      <c r="S48" s="2" t="n">
        <v>88.09999999999999</v>
      </c>
      <c r="T48" s="2" t="n">
        <v>91.5</v>
      </c>
      <c r="U48" s="2" t="n">
        <v>95.59999999999999</v>
      </c>
    </row>
    <row r="49">
      <c r="A49" s="3" t="n">
        <v>48</v>
      </c>
      <c r="B49" s="3" t="inlineStr">
        <is>
          <t>Sunrise Academy</t>
        </is>
      </c>
      <c r="C49" s="3" t="inlineStr">
        <is>
          <t>East</t>
        </is>
      </c>
      <c r="D49" s="3" t="inlineStr">
        <is>
          <t>Charter</t>
        </is>
      </c>
      <c r="E49" s="3" t="n">
        <v>414</v>
      </c>
      <c r="F49" s="3" t="n">
        <v>119</v>
      </c>
      <c r="G49" s="3" t="n">
        <v>3.5</v>
      </c>
      <c r="H49" s="3" t="n">
        <v>2545.36</v>
      </c>
      <c r="I49" s="3" t="n">
        <v>7244</v>
      </c>
      <c r="J49" s="3" t="n">
        <v>375</v>
      </c>
      <c r="K49" s="3" t="n">
        <v>0.91</v>
      </c>
      <c r="L49" s="3" t="n">
        <v>16</v>
      </c>
      <c r="M49" s="3" t="n">
        <v>7.9</v>
      </c>
      <c r="N49" s="3" t="n">
        <v>97.3</v>
      </c>
      <c r="O49" s="3" t="n">
        <v>93.59999999999999</v>
      </c>
      <c r="P49" s="3" t="n">
        <v>8.5</v>
      </c>
      <c r="Q49" s="3" t="n">
        <v>88.7</v>
      </c>
      <c r="R49" s="3" t="n">
        <v>81.09999999999999</v>
      </c>
      <c r="S49" s="3" t="n">
        <v>80.5</v>
      </c>
      <c r="T49" s="3" t="n">
        <v>96.2</v>
      </c>
      <c r="U49" s="3" t="n">
        <v>87.2</v>
      </c>
    </row>
    <row r="50">
      <c r="A50" s="2" t="n">
        <v>49</v>
      </c>
      <c r="B50" s="2" t="inlineStr">
        <is>
          <t>Eastgate Institute</t>
        </is>
      </c>
      <c r="C50" s="2" t="inlineStr">
        <is>
          <t>North</t>
        </is>
      </c>
      <c r="D50" s="2" t="inlineStr">
        <is>
          <t>Charter</t>
        </is>
      </c>
      <c r="E50" s="2" t="n">
        <v>1980</v>
      </c>
      <c r="F50" s="2" t="n">
        <v>79</v>
      </c>
      <c r="G50" s="2" t="n">
        <v>25.1</v>
      </c>
      <c r="H50" s="2" t="n">
        <v>4502.85</v>
      </c>
      <c r="I50" s="2" t="n">
        <v>1388</v>
      </c>
      <c r="J50" s="2" t="n">
        <v>116</v>
      </c>
      <c r="K50" s="2" t="n">
        <v>0.06</v>
      </c>
      <c r="L50" s="2" t="n">
        <v>17</v>
      </c>
      <c r="M50" s="2" t="n">
        <v>9.699999999999999</v>
      </c>
      <c r="N50" s="2" t="n">
        <v>87.8</v>
      </c>
      <c r="O50" s="2" t="n">
        <v>88.09999999999999</v>
      </c>
      <c r="P50" s="2" t="n">
        <v>11.5</v>
      </c>
      <c r="Q50" s="2" t="n">
        <v>80.40000000000001</v>
      </c>
      <c r="R50" s="2" t="n">
        <v>77.5</v>
      </c>
      <c r="S50" s="2" t="n">
        <v>66.09999999999999</v>
      </c>
      <c r="T50" s="2" t="n">
        <v>79.40000000000001</v>
      </c>
      <c r="U50" s="2" t="n">
        <v>83.59999999999999</v>
      </c>
    </row>
    <row r="51">
      <c r="A51" s="3" t="n">
        <v>50</v>
      </c>
      <c r="B51" s="3" t="inlineStr">
        <is>
          <t>Riverside High</t>
        </is>
      </c>
      <c r="C51" s="3" t="inlineStr">
        <is>
          <t>North</t>
        </is>
      </c>
      <c r="D51" s="3" t="inlineStr">
        <is>
          <t>Charter</t>
        </is>
      </c>
      <c r="E51" s="3" t="n">
        <v>1446</v>
      </c>
      <c r="F51" s="3" t="n">
        <v>112</v>
      </c>
      <c r="G51" s="3" t="n">
        <v>12.9</v>
      </c>
      <c r="H51" s="3" t="n">
        <v>3055.43</v>
      </c>
      <c r="I51" s="3" t="n">
        <v>3094</v>
      </c>
      <c r="J51" s="3" t="n">
        <v>179</v>
      </c>
      <c r="K51" s="3" t="n">
        <v>0.12</v>
      </c>
      <c r="L51" s="3" t="n">
        <v>18</v>
      </c>
      <c r="M51" s="3" t="n">
        <v>1.3</v>
      </c>
      <c r="N51" s="3" t="n">
        <v>70.40000000000001</v>
      </c>
      <c r="O51" s="3" t="n">
        <v>76.5</v>
      </c>
      <c r="P51" s="3" t="n">
        <v>12.7</v>
      </c>
      <c r="Q51" s="3" t="n">
        <v>73.09999999999999</v>
      </c>
      <c r="R51" s="3" t="n">
        <v>79.09999999999999</v>
      </c>
      <c r="S51" s="3" t="n">
        <v>61.6</v>
      </c>
      <c r="T51" s="3" t="n">
        <v>67.59999999999999</v>
      </c>
      <c r="U51" s="3" t="n">
        <v>80</v>
      </c>
    </row>
    <row r="52">
      <c r="A52" s="2" t="n">
        <v>51</v>
      </c>
      <c r="B52" s="2" t="inlineStr">
        <is>
          <t>Lakeview School</t>
        </is>
      </c>
      <c r="C52" s="2" t="inlineStr">
        <is>
          <t>Central</t>
        </is>
      </c>
      <c r="D52" s="2" t="inlineStr">
        <is>
          <t>Charter</t>
        </is>
      </c>
      <c r="E52" s="2" t="n">
        <v>759</v>
      </c>
      <c r="F52" s="2" t="n">
        <v>63</v>
      </c>
      <c r="G52" s="2" t="n">
        <v>12</v>
      </c>
      <c r="H52" s="2" t="n">
        <v>6925.71</v>
      </c>
      <c r="I52" s="2" t="n">
        <v>8236</v>
      </c>
      <c r="J52" s="2" t="n">
        <v>144</v>
      </c>
      <c r="K52" s="2" t="n">
        <v>0.19</v>
      </c>
      <c r="L52" s="2" t="n">
        <v>15</v>
      </c>
      <c r="M52" s="2" t="n">
        <v>14.2</v>
      </c>
      <c r="N52" s="2" t="n">
        <v>69.2</v>
      </c>
      <c r="O52" s="2" t="n">
        <v>96.7</v>
      </c>
      <c r="P52" s="2" t="n">
        <v>7.9</v>
      </c>
      <c r="Q52" s="2" t="n">
        <v>98</v>
      </c>
      <c r="R52" s="2" t="n">
        <v>87.8</v>
      </c>
      <c r="S52" s="2" t="n">
        <v>90.2</v>
      </c>
      <c r="T52" s="2" t="n">
        <v>102.6</v>
      </c>
      <c r="U52" s="2" t="n">
        <v>96.59999999999999</v>
      </c>
    </row>
    <row r="53">
      <c r="A53" s="3" t="n">
        <v>52</v>
      </c>
      <c r="B53" s="3" t="inlineStr">
        <is>
          <t>Eastgate Institute</t>
        </is>
      </c>
      <c r="C53" s="3" t="inlineStr">
        <is>
          <t>East</t>
        </is>
      </c>
      <c r="D53" s="3" t="inlineStr">
        <is>
          <t>Public</t>
        </is>
      </c>
      <c r="E53" s="3" t="n">
        <v>779</v>
      </c>
      <c r="F53" s="3" t="n">
        <v>102</v>
      </c>
      <c r="G53" s="3" t="n">
        <v>7.6</v>
      </c>
      <c r="H53" s="3" t="n">
        <v>3440.61</v>
      </c>
      <c r="I53" s="3" t="n">
        <v>8522</v>
      </c>
      <c r="J53" s="3" t="n">
        <v>463</v>
      </c>
      <c r="K53" s="3" t="n">
        <v>0.59</v>
      </c>
      <c r="L53" s="3" t="n">
        <v>5</v>
      </c>
      <c r="M53" s="3" t="n">
        <v>11.7</v>
      </c>
      <c r="N53" s="3" t="n">
        <v>74.2</v>
      </c>
      <c r="O53" s="3" t="n">
        <v>79.59999999999999</v>
      </c>
      <c r="P53" s="3" t="n">
        <v>11.6</v>
      </c>
      <c r="Q53" s="3" t="n">
        <v>84</v>
      </c>
      <c r="R53" s="3" t="n">
        <v>81.09999999999999</v>
      </c>
      <c r="S53" s="3" t="n">
        <v>70.3</v>
      </c>
      <c r="T53" s="3" t="n">
        <v>91.7</v>
      </c>
      <c r="U53" s="3" t="n">
        <v>79.8</v>
      </c>
    </row>
    <row r="54">
      <c r="A54" s="2" t="n">
        <v>53</v>
      </c>
      <c r="B54" s="2" t="inlineStr">
        <is>
          <t>Pinnacle High</t>
        </is>
      </c>
      <c r="C54" s="2" t="inlineStr">
        <is>
          <t>South</t>
        </is>
      </c>
      <c r="D54" s="2" t="inlineStr">
        <is>
          <t>Private</t>
        </is>
      </c>
      <c r="E54" s="2" t="n">
        <v>289</v>
      </c>
      <c r="F54" s="2" t="n">
        <v>50</v>
      </c>
      <c r="G54" s="2" t="n">
        <v>5.8</v>
      </c>
      <c r="H54" s="2" t="n">
        <v>6340.58</v>
      </c>
      <c r="I54" s="2" t="n">
        <v>6746</v>
      </c>
      <c r="J54" s="2" t="n">
        <v>217</v>
      </c>
      <c r="K54" s="2" t="n">
        <v>0.75</v>
      </c>
      <c r="L54" s="2" t="n">
        <v>5</v>
      </c>
      <c r="M54" s="2" t="n">
        <v>12.9</v>
      </c>
      <c r="N54" s="2" t="n">
        <v>51.9</v>
      </c>
      <c r="O54" s="2" t="n">
        <v>84.59999999999999</v>
      </c>
      <c r="P54" s="2" t="n">
        <v>9.1</v>
      </c>
      <c r="Q54" s="2" t="n">
        <v>98</v>
      </c>
      <c r="R54" s="2" t="n">
        <v>85.5</v>
      </c>
      <c r="S54" s="2" t="n">
        <v>88.59999999999999</v>
      </c>
      <c r="T54" s="2" t="n">
        <v>98.40000000000001</v>
      </c>
      <c r="U54" s="2" t="n">
        <v>97.3</v>
      </c>
    </row>
    <row r="55">
      <c r="A55" s="3" t="n">
        <v>54</v>
      </c>
      <c r="B55" s="3" t="inlineStr">
        <is>
          <t>Oakwood Secondary</t>
        </is>
      </c>
      <c r="C55" s="3" t="inlineStr">
        <is>
          <t>West</t>
        </is>
      </c>
      <c r="D55" s="3" t="inlineStr">
        <is>
          <t>Charter</t>
        </is>
      </c>
      <c r="E55" s="3" t="n">
        <v>516</v>
      </c>
      <c r="F55" s="3" t="n">
        <v>19</v>
      </c>
      <c r="G55" s="3" t="n">
        <v>27.2</v>
      </c>
      <c r="H55" s="3" t="n">
        <v>4551.69</v>
      </c>
      <c r="I55" s="3" t="n">
        <v>4842</v>
      </c>
      <c r="J55" s="3" t="n">
        <v>193</v>
      </c>
      <c r="K55" s="3" t="n">
        <v>0.37</v>
      </c>
      <c r="L55" s="3" t="n">
        <v>20</v>
      </c>
      <c r="M55" s="3" t="n">
        <v>17.6</v>
      </c>
      <c r="N55" s="3" t="n">
        <v>82.5</v>
      </c>
      <c r="O55" s="3" t="n">
        <v>94.7</v>
      </c>
      <c r="P55" s="3" t="n">
        <v>12.9</v>
      </c>
      <c r="Q55" s="3" t="n">
        <v>92.90000000000001</v>
      </c>
      <c r="R55" s="3" t="n">
        <v>73</v>
      </c>
      <c r="S55" s="3" t="n">
        <v>84.7</v>
      </c>
      <c r="T55" s="3" t="n">
        <v>96.40000000000001</v>
      </c>
      <c r="U55" s="3" t="n">
        <v>97.09999999999999</v>
      </c>
    </row>
    <row r="56">
      <c r="A56" s="2" t="n">
        <v>55</v>
      </c>
      <c r="B56" s="2" t="inlineStr">
        <is>
          <t>Eastgate Institute</t>
        </is>
      </c>
      <c r="C56" s="2" t="inlineStr">
        <is>
          <t>North</t>
        </is>
      </c>
      <c r="D56" s="2" t="inlineStr">
        <is>
          <t>Charter</t>
        </is>
      </c>
      <c r="E56" s="2" t="n">
        <v>340</v>
      </c>
      <c r="F56" s="2" t="n">
        <v>40</v>
      </c>
      <c r="G56" s="2" t="n">
        <v>8.5</v>
      </c>
      <c r="H56" s="2" t="n">
        <v>5602.55</v>
      </c>
      <c r="I56" s="2" t="n">
        <v>5208</v>
      </c>
      <c r="J56" s="2" t="n">
        <v>136</v>
      </c>
      <c r="K56" s="2" t="n">
        <v>0.4</v>
      </c>
      <c r="L56" s="2" t="n">
        <v>3</v>
      </c>
      <c r="M56" s="2" t="n">
        <v>11.4</v>
      </c>
      <c r="N56" s="2" t="n">
        <v>54.9</v>
      </c>
      <c r="O56" s="2" t="n">
        <v>88.40000000000001</v>
      </c>
      <c r="P56" s="2" t="n">
        <v>13.2</v>
      </c>
      <c r="Q56" s="2" t="n">
        <v>94.09999999999999</v>
      </c>
      <c r="R56" s="2" t="n">
        <v>75.5</v>
      </c>
      <c r="S56" s="2" t="n">
        <v>80.09999999999999</v>
      </c>
      <c r="T56" s="2" t="n">
        <v>86.8</v>
      </c>
      <c r="U56" s="2" t="n">
        <v>98.8</v>
      </c>
    </row>
    <row r="57">
      <c r="A57" s="3" t="n">
        <v>56</v>
      </c>
      <c r="B57" s="3" t="inlineStr">
        <is>
          <t>Lakeview School</t>
        </is>
      </c>
      <c r="C57" s="3" t="inlineStr">
        <is>
          <t>East</t>
        </is>
      </c>
      <c r="D57" s="3" t="inlineStr">
        <is>
          <t>Private</t>
        </is>
      </c>
      <c r="E57" s="3" t="n">
        <v>1082</v>
      </c>
      <c r="F57" s="3" t="n">
        <v>28</v>
      </c>
      <c r="G57" s="3" t="n">
        <v>38.6</v>
      </c>
      <c r="H57" s="3" t="n">
        <v>3087.28</v>
      </c>
      <c r="I57" s="3" t="n">
        <v>7251</v>
      </c>
      <c r="J57" s="3" t="n">
        <v>309</v>
      </c>
      <c r="K57" s="3" t="n">
        <v>0.29</v>
      </c>
      <c r="L57" s="3" t="n">
        <v>6</v>
      </c>
      <c r="M57" s="3" t="n">
        <v>5.1</v>
      </c>
      <c r="N57" s="3" t="n">
        <v>53.9</v>
      </c>
      <c r="O57" s="3" t="n">
        <v>95.3</v>
      </c>
      <c r="P57" s="3" t="n">
        <v>9.5</v>
      </c>
      <c r="Q57" s="3" t="n">
        <v>63.3</v>
      </c>
      <c r="R57" s="3" t="n">
        <v>85.09999999999999</v>
      </c>
      <c r="S57" s="3" t="n">
        <v>56.9</v>
      </c>
      <c r="T57" s="3" t="n">
        <v>62.7</v>
      </c>
      <c r="U57" s="3" t="n">
        <v>59.4</v>
      </c>
    </row>
    <row r="58">
      <c r="A58" s="2" t="n">
        <v>57</v>
      </c>
      <c r="B58" s="2" t="inlineStr">
        <is>
          <t>Lakeview School</t>
        </is>
      </c>
      <c r="C58" s="2" t="inlineStr">
        <is>
          <t>North</t>
        </is>
      </c>
      <c r="D58" s="2" t="inlineStr">
        <is>
          <t>Private</t>
        </is>
      </c>
      <c r="E58" s="2" t="n">
        <v>789</v>
      </c>
      <c r="F58" s="2" t="n">
        <v>96</v>
      </c>
      <c r="G58" s="2" t="n">
        <v>8.199999999999999</v>
      </c>
      <c r="H58" s="2" t="n">
        <v>5052.89</v>
      </c>
      <c r="I58" s="2" t="n">
        <v>1710</v>
      </c>
      <c r="J58" s="2" t="n">
        <v>246</v>
      </c>
      <c r="K58" s="2" t="n">
        <v>0.31</v>
      </c>
      <c r="L58" s="2" t="n">
        <v>12</v>
      </c>
      <c r="M58" s="2" t="n">
        <v>24.7</v>
      </c>
      <c r="N58" s="2" t="n">
        <v>65</v>
      </c>
      <c r="O58" s="2" t="n">
        <v>97.90000000000001</v>
      </c>
      <c r="P58" s="2" t="n">
        <v>10.5</v>
      </c>
      <c r="Q58" s="2" t="n">
        <v>94.7</v>
      </c>
      <c r="R58" s="2" t="n">
        <v>77</v>
      </c>
      <c r="S58" s="2" t="n">
        <v>79.7</v>
      </c>
      <c r="T58" s="2" t="n">
        <v>100.4</v>
      </c>
      <c r="U58" s="2" t="n">
        <v>88.40000000000001</v>
      </c>
    </row>
    <row r="59">
      <c r="A59" s="3" t="n">
        <v>58</v>
      </c>
      <c r="B59" s="3" t="inlineStr">
        <is>
          <t>Pinnacle High</t>
        </is>
      </c>
      <c r="C59" s="3" t="inlineStr">
        <is>
          <t>Central</t>
        </is>
      </c>
      <c r="D59" s="3" t="inlineStr">
        <is>
          <t>Private</t>
        </is>
      </c>
      <c r="E59" s="3" t="n">
        <v>1377</v>
      </c>
      <c r="F59" s="3" t="n">
        <v>47</v>
      </c>
      <c r="G59" s="3" t="n">
        <v>29.3</v>
      </c>
      <c r="H59" s="3" t="n">
        <v>7952.5</v>
      </c>
      <c r="I59" s="3" t="n">
        <v>5337</v>
      </c>
      <c r="J59" s="3" t="n">
        <v>31</v>
      </c>
      <c r="K59" s="3" t="n">
        <v>0.02</v>
      </c>
      <c r="L59" s="3" t="n">
        <v>13</v>
      </c>
      <c r="M59" s="3" t="n">
        <v>7.6</v>
      </c>
      <c r="N59" s="3" t="n">
        <v>78.3</v>
      </c>
      <c r="O59" s="3" t="n">
        <v>89.90000000000001</v>
      </c>
      <c r="P59" s="3" t="n">
        <v>11.3</v>
      </c>
      <c r="Q59" s="3" t="n">
        <v>91.3</v>
      </c>
      <c r="R59" s="3" t="n">
        <v>78.5</v>
      </c>
      <c r="S59" s="3" t="n">
        <v>81.3</v>
      </c>
      <c r="T59" s="3" t="n">
        <v>97.8</v>
      </c>
      <c r="U59" s="3" t="n">
        <v>87.90000000000001</v>
      </c>
    </row>
    <row r="60">
      <c r="A60" s="2" t="n">
        <v>59</v>
      </c>
      <c r="B60" s="2" t="inlineStr">
        <is>
          <t>Hillcrest Institute</t>
        </is>
      </c>
      <c r="C60" s="2" t="inlineStr">
        <is>
          <t>Central</t>
        </is>
      </c>
      <c r="D60" s="2" t="inlineStr">
        <is>
          <t>Private</t>
        </is>
      </c>
      <c r="E60" s="2" t="n">
        <v>648</v>
      </c>
      <c r="F60" s="2" t="n">
        <v>91</v>
      </c>
      <c r="G60" s="2" t="n">
        <v>7.1</v>
      </c>
      <c r="H60" s="2" t="n">
        <v>2735.86</v>
      </c>
      <c r="I60" s="2" t="n">
        <v>4606</v>
      </c>
      <c r="J60" s="2" t="n">
        <v>367</v>
      </c>
      <c r="K60" s="2" t="n">
        <v>0.57</v>
      </c>
      <c r="L60" s="2" t="n">
        <v>5</v>
      </c>
      <c r="M60" s="2" t="n">
        <v>16.1</v>
      </c>
      <c r="N60" s="2" t="n">
        <v>95.2</v>
      </c>
      <c r="O60" s="2" t="n">
        <v>88.7</v>
      </c>
      <c r="P60" s="2" t="n">
        <v>5</v>
      </c>
      <c r="Q60" s="2" t="n">
        <v>86.5</v>
      </c>
      <c r="R60" s="2" t="n">
        <v>90.8</v>
      </c>
      <c r="S60" s="2" t="n">
        <v>74.2</v>
      </c>
      <c r="T60" s="2" t="n">
        <v>79.90000000000001</v>
      </c>
      <c r="U60" s="2" t="n">
        <v>83.2</v>
      </c>
    </row>
    <row r="61">
      <c r="A61" s="3" t="n">
        <v>60</v>
      </c>
      <c r="B61" s="3" t="inlineStr">
        <is>
          <t>Pinnacle High</t>
        </is>
      </c>
      <c r="C61" s="3" t="inlineStr">
        <is>
          <t>South</t>
        </is>
      </c>
      <c r="D61" s="3" t="inlineStr">
        <is>
          <t>Public</t>
        </is>
      </c>
      <c r="E61" s="3" t="n">
        <v>470</v>
      </c>
      <c r="F61" s="3" t="n">
        <v>110</v>
      </c>
      <c r="G61" s="3" t="n">
        <v>4.3</v>
      </c>
      <c r="H61" s="3" t="n">
        <v>5006.15</v>
      </c>
      <c r="I61" s="3" t="n">
        <v>6494</v>
      </c>
      <c r="J61" s="3" t="n">
        <v>291</v>
      </c>
      <c r="K61" s="3" t="n">
        <v>0.62</v>
      </c>
      <c r="L61" s="3" t="n">
        <v>17</v>
      </c>
      <c r="M61" s="3" t="n">
        <v>22.9</v>
      </c>
      <c r="N61" s="3" t="n">
        <v>91.5</v>
      </c>
      <c r="O61" s="3" t="n">
        <v>77.5</v>
      </c>
      <c r="P61" s="3" t="n">
        <v>12.5</v>
      </c>
      <c r="Q61" s="3" t="n">
        <v>97.90000000000001</v>
      </c>
      <c r="R61" s="3" t="n">
        <v>78.09999999999999</v>
      </c>
      <c r="S61" s="3" t="n">
        <v>85.40000000000001</v>
      </c>
      <c r="T61" s="3" t="n">
        <v>95.3</v>
      </c>
      <c r="U61" s="3" t="n">
        <v>91.7</v>
      </c>
    </row>
    <row r="62">
      <c r="A62" s="2" t="n">
        <v>61</v>
      </c>
      <c r="B62" s="2" t="inlineStr">
        <is>
          <t>Riverside High</t>
        </is>
      </c>
      <c r="C62" s="2" t="inlineStr">
        <is>
          <t>South</t>
        </is>
      </c>
      <c r="D62" s="2" t="inlineStr">
        <is>
          <t>Public</t>
        </is>
      </c>
      <c r="E62" s="2" t="n">
        <v>1961</v>
      </c>
      <c r="F62" s="2" t="n">
        <v>96</v>
      </c>
      <c r="G62" s="2" t="n">
        <v>20.4</v>
      </c>
      <c r="H62" s="2" t="n">
        <v>6207.41</v>
      </c>
      <c r="I62" s="2" t="n">
        <v>7011</v>
      </c>
      <c r="J62" s="2" t="n">
        <v>453</v>
      </c>
      <c r="K62" s="2" t="n">
        <v>0.23</v>
      </c>
      <c r="L62" s="2" t="n">
        <v>18</v>
      </c>
      <c r="M62" s="2" t="n">
        <v>9.800000000000001</v>
      </c>
      <c r="N62" s="2" t="n">
        <v>89.5</v>
      </c>
      <c r="O62" s="2" t="n">
        <v>70.40000000000001</v>
      </c>
      <c r="P62" s="2" t="n">
        <v>8.300000000000001</v>
      </c>
      <c r="Q62" s="2" t="n">
        <v>93.90000000000001</v>
      </c>
      <c r="R62" s="2" t="n">
        <v>85.09999999999999</v>
      </c>
      <c r="S62" s="2" t="n">
        <v>82.2</v>
      </c>
      <c r="T62" s="2" t="n">
        <v>95.3</v>
      </c>
      <c r="U62" s="2" t="n">
        <v>99.09999999999999</v>
      </c>
    </row>
    <row r="63">
      <c r="A63" s="3" t="n">
        <v>62</v>
      </c>
      <c r="B63" s="3" t="inlineStr">
        <is>
          <t>Sunrise Academy</t>
        </is>
      </c>
      <c r="C63" s="3" t="inlineStr">
        <is>
          <t>North</t>
        </is>
      </c>
      <c r="D63" s="3" t="inlineStr">
        <is>
          <t>Charter</t>
        </is>
      </c>
      <c r="E63" s="3" t="n">
        <v>678</v>
      </c>
      <c r="F63" s="3" t="n">
        <v>70</v>
      </c>
      <c r="G63" s="3" t="n">
        <v>9.699999999999999</v>
      </c>
      <c r="H63" s="3" t="n">
        <v>1662.66</v>
      </c>
      <c r="I63" s="3" t="n">
        <v>9698</v>
      </c>
      <c r="J63" s="3" t="n">
        <v>187</v>
      </c>
      <c r="K63" s="3" t="n">
        <v>0.28</v>
      </c>
      <c r="L63" s="3" t="n">
        <v>20</v>
      </c>
      <c r="M63" s="3" t="n">
        <v>6.3</v>
      </c>
      <c r="N63" s="3" t="n">
        <v>53.2</v>
      </c>
      <c r="O63" s="3" t="n">
        <v>93.90000000000001</v>
      </c>
      <c r="P63" s="3" t="n">
        <v>13.7</v>
      </c>
      <c r="Q63" s="3" t="n">
        <v>71.59999999999999</v>
      </c>
      <c r="R63" s="3" t="n">
        <v>71.7</v>
      </c>
      <c r="S63" s="3" t="n">
        <v>65.2</v>
      </c>
      <c r="T63" s="3" t="n">
        <v>78.7</v>
      </c>
      <c r="U63" s="3" t="n">
        <v>68.5</v>
      </c>
    </row>
    <row r="64">
      <c r="A64" s="2" t="n">
        <v>63</v>
      </c>
      <c r="B64" s="2" t="inlineStr">
        <is>
          <t>Westbrook School</t>
        </is>
      </c>
      <c r="C64" s="2" t="inlineStr">
        <is>
          <t>North</t>
        </is>
      </c>
      <c r="D64" s="2" t="inlineStr">
        <is>
          <t>Public</t>
        </is>
      </c>
      <c r="E64" s="2" t="n">
        <v>680</v>
      </c>
      <c r="F64" s="2" t="n">
        <v>78</v>
      </c>
      <c r="G64" s="2" t="n">
        <v>8.699999999999999</v>
      </c>
      <c r="H64" s="2" t="n">
        <v>2381.82</v>
      </c>
      <c r="I64" s="2" t="n">
        <v>7932</v>
      </c>
      <c r="J64" s="2" t="n">
        <v>209</v>
      </c>
      <c r="K64" s="2" t="n">
        <v>0.31</v>
      </c>
      <c r="L64" s="2" t="n">
        <v>18</v>
      </c>
      <c r="M64" s="2" t="n">
        <v>11.1</v>
      </c>
      <c r="N64" s="2" t="n">
        <v>87.09999999999999</v>
      </c>
      <c r="O64" s="2" t="n">
        <v>74.5</v>
      </c>
      <c r="P64" s="2" t="n">
        <v>6.5</v>
      </c>
      <c r="Q64" s="2" t="n">
        <v>73.8</v>
      </c>
      <c r="R64" s="2" t="n">
        <v>86.90000000000001</v>
      </c>
      <c r="S64" s="2" t="n">
        <v>64.7</v>
      </c>
      <c r="T64" s="2" t="n">
        <v>81</v>
      </c>
      <c r="U64" s="2" t="n">
        <v>66.3</v>
      </c>
    </row>
    <row r="65">
      <c r="A65" s="3" t="n">
        <v>64</v>
      </c>
      <c r="B65" s="3" t="inlineStr">
        <is>
          <t>Sunrise Academy</t>
        </is>
      </c>
      <c r="C65" s="3" t="inlineStr">
        <is>
          <t>South</t>
        </is>
      </c>
      <c r="D65" s="3" t="inlineStr">
        <is>
          <t>Private</t>
        </is>
      </c>
      <c r="E65" s="3" t="n">
        <v>1110</v>
      </c>
      <c r="F65" s="3" t="n">
        <v>40</v>
      </c>
      <c r="G65" s="3" t="n">
        <v>27.8</v>
      </c>
      <c r="H65" s="3" t="n">
        <v>7060.43</v>
      </c>
      <c r="I65" s="3" t="n">
        <v>2127</v>
      </c>
      <c r="J65" s="3" t="n">
        <v>371</v>
      </c>
      <c r="K65" s="3" t="n">
        <v>0.33</v>
      </c>
      <c r="L65" s="3" t="n">
        <v>12</v>
      </c>
      <c r="M65" s="3" t="n">
        <v>14.1</v>
      </c>
      <c r="N65" s="3" t="n">
        <v>98.90000000000001</v>
      </c>
      <c r="O65" s="3" t="n">
        <v>80.40000000000001</v>
      </c>
      <c r="P65" s="3" t="n">
        <v>6.3</v>
      </c>
      <c r="Q65" s="3" t="n">
        <v>92.09999999999999</v>
      </c>
      <c r="R65" s="3" t="n">
        <v>83.59999999999999</v>
      </c>
      <c r="S65" s="3" t="n">
        <v>78.59999999999999</v>
      </c>
      <c r="T65" s="3" t="n">
        <v>91.40000000000001</v>
      </c>
      <c r="U65" s="3" t="n">
        <v>94.7</v>
      </c>
    </row>
    <row r="66">
      <c r="A66" s="2" t="n">
        <v>65</v>
      </c>
      <c r="B66" s="2" t="inlineStr">
        <is>
          <t>Northfield Academy</t>
        </is>
      </c>
      <c r="C66" s="2" t="inlineStr">
        <is>
          <t>North</t>
        </is>
      </c>
      <c r="D66" s="2" t="inlineStr">
        <is>
          <t>Public</t>
        </is>
      </c>
      <c r="E66" s="2" t="n">
        <v>1811</v>
      </c>
      <c r="F66" s="2" t="n">
        <v>52</v>
      </c>
      <c r="G66" s="2" t="n">
        <v>34.8</v>
      </c>
      <c r="H66" s="2" t="n">
        <v>3083.2</v>
      </c>
      <c r="I66" s="2" t="n">
        <v>2563</v>
      </c>
      <c r="J66" s="2" t="n">
        <v>422</v>
      </c>
      <c r="K66" s="2" t="n">
        <v>0.23</v>
      </c>
      <c r="L66" s="2" t="n">
        <v>19</v>
      </c>
      <c r="M66" s="2" t="n">
        <v>5.9</v>
      </c>
      <c r="N66" s="2" t="n">
        <v>91.5</v>
      </c>
      <c r="O66" s="2" t="n">
        <v>86.09999999999999</v>
      </c>
      <c r="P66" s="2" t="n">
        <v>9</v>
      </c>
      <c r="Q66" s="2" t="n">
        <v>80.90000000000001</v>
      </c>
      <c r="R66" s="2" t="n">
        <v>79.3</v>
      </c>
      <c r="S66" s="2" t="n">
        <v>68.2</v>
      </c>
      <c r="T66" s="2" t="n">
        <v>85.5</v>
      </c>
      <c r="U66" s="2" t="n">
        <v>82.40000000000001</v>
      </c>
    </row>
    <row r="67">
      <c r="A67" s="3" t="n">
        <v>66</v>
      </c>
      <c r="B67" s="3" t="inlineStr">
        <is>
          <t>Lakeview School</t>
        </is>
      </c>
      <c r="C67" s="3" t="inlineStr">
        <is>
          <t>South</t>
        </is>
      </c>
      <c r="D67" s="3" t="inlineStr">
        <is>
          <t>Public</t>
        </is>
      </c>
      <c r="E67" s="3" t="n">
        <v>1306</v>
      </c>
      <c r="F67" s="3" t="n">
        <v>42</v>
      </c>
      <c r="G67" s="3" t="n">
        <v>31.1</v>
      </c>
      <c r="H67" s="3" t="n">
        <v>6690.34</v>
      </c>
      <c r="I67" s="3" t="n">
        <v>2301</v>
      </c>
      <c r="J67" s="3" t="n">
        <v>358</v>
      </c>
      <c r="K67" s="3" t="n">
        <v>0.27</v>
      </c>
      <c r="L67" s="3" t="n">
        <v>1</v>
      </c>
      <c r="M67" s="3" t="n">
        <v>4.2</v>
      </c>
      <c r="N67" s="3" t="n">
        <v>67.90000000000001</v>
      </c>
      <c r="O67" s="3" t="n">
        <v>92.90000000000001</v>
      </c>
      <c r="P67" s="3" t="n">
        <v>9</v>
      </c>
      <c r="Q67" s="3" t="n">
        <v>82.3</v>
      </c>
      <c r="R67" s="3" t="n">
        <v>79.7</v>
      </c>
      <c r="S67" s="3" t="n">
        <v>76</v>
      </c>
      <c r="T67" s="3" t="n">
        <v>81</v>
      </c>
      <c r="U67" s="3" t="n">
        <v>76.09999999999999</v>
      </c>
    </row>
    <row r="68">
      <c r="A68" s="2" t="n">
        <v>67</v>
      </c>
      <c r="B68" s="2" t="inlineStr">
        <is>
          <t>Riverside High</t>
        </is>
      </c>
      <c r="C68" s="2" t="inlineStr">
        <is>
          <t>West</t>
        </is>
      </c>
      <c r="D68" s="2" t="inlineStr">
        <is>
          <t>Private</t>
        </is>
      </c>
      <c r="E68" s="2" t="n">
        <v>1793</v>
      </c>
      <c r="F68" s="2" t="n">
        <v>56</v>
      </c>
      <c r="G68" s="2" t="n">
        <v>32</v>
      </c>
      <c r="H68" s="2" t="n">
        <v>4836.05</v>
      </c>
      <c r="I68" s="2" t="n">
        <v>2286</v>
      </c>
      <c r="J68" s="2" t="n">
        <v>251</v>
      </c>
      <c r="K68" s="2" t="n">
        <v>0.14</v>
      </c>
      <c r="L68" s="2" t="n">
        <v>17</v>
      </c>
      <c r="M68" s="2" t="n">
        <v>6.3</v>
      </c>
      <c r="N68" s="2" t="n">
        <v>80.8</v>
      </c>
      <c r="O68" s="2" t="n">
        <v>91.09999999999999</v>
      </c>
      <c r="P68" s="2" t="n">
        <v>13.7</v>
      </c>
      <c r="Q68" s="2" t="n">
        <v>87.09999999999999</v>
      </c>
      <c r="R68" s="2" t="n">
        <v>70.59999999999999</v>
      </c>
      <c r="S68" s="2" t="n">
        <v>75.7</v>
      </c>
      <c r="T68" s="2" t="n">
        <v>79.59999999999999</v>
      </c>
      <c r="U68" s="2" t="n">
        <v>95.09999999999999</v>
      </c>
    </row>
    <row r="69">
      <c r="A69" s="3" t="n">
        <v>68</v>
      </c>
      <c r="B69" s="3" t="inlineStr">
        <is>
          <t>Pinnacle High</t>
        </is>
      </c>
      <c r="C69" s="3" t="inlineStr">
        <is>
          <t>West</t>
        </is>
      </c>
      <c r="D69" s="3" t="inlineStr">
        <is>
          <t>Charter</t>
        </is>
      </c>
      <c r="E69" s="3" t="n">
        <v>421</v>
      </c>
      <c r="F69" s="3" t="n">
        <v>72</v>
      </c>
      <c r="G69" s="3" t="n">
        <v>5.8</v>
      </c>
      <c r="H69" s="3" t="n">
        <v>6130.61</v>
      </c>
      <c r="I69" s="3" t="n">
        <v>7767</v>
      </c>
      <c r="J69" s="3" t="n">
        <v>57</v>
      </c>
      <c r="K69" s="3" t="n">
        <v>0.14</v>
      </c>
      <c r="L69" s="3" t="n">
        <v>3</v>
      </c>
      <c r="M69" s="3" t="n">
        <v>8.699999999999999</v>
      </c>
      <c r="N69" s="3" t="n">
        <v>57.4</v>
      </c>
      <c r="O69" s="3" t="n">
        <v>73.7</v>
      </c>
      <c r="P69" s="3" t="n">
        <v>9.6</v>
      </c>
      <c r="Q69" s="3" t="n">
        <v>98</v>
      </c>
      <c r="R69" s="3" t="n">
        <v>82.90000000000001</v>
      </c>
      <c r="S69" s="3" t="n">
        <v>89.2</v>
      </c>
      <c r="T69" s="3" t="n">
        <v>99.59999999999999</v>
      </c>
      <c r="U69" s="3" t="n">
        <v>94.7</v>
      </c>
    </row>
    <row r="70">
      <c r="A70" s="2" t="n">
        <v>69</v>
      </c>
      <c r="B70" s="2" t="inlineStr">
        <is>
          <t>Eastgate Institute</t>
        </is>
      </c>
      <c r="C70" s="2" t="inlineStr">
        <is>
          <t>Central</t>
        </is>
      </c>
      <c r="D70" s="2" t="inlineStr">
        <is>
          <t>Private</t>
        </is>
      </c>
      <c r="E70" s="2" t="n">
        <v>403</v>
      </c>
      <c r="F70" s="2" t="n">
        <v>111</v>
      </c>
      <c r="G70" s="2" t="n">
        <v>3.6</v>
      </c>
      <c r="H70" s="2" t="n">
        <v>6061.57</v>
      </c>
      <c r="I70" s="2" t="n">
        <v>9533</v>
      </c>
      <c r="J70" s="2" t="n">
        <v>389</v>
      </c>
      <c r="K70" s="2" t="n">
        <v>0.97</v>
      </c>
      <c r="L70" s="2" t="n">
        <v>7</v>
      </c>
      <c r="M70" s="2" t="n">
        <v>11.3</v>
      </c>
      <c r="N70" s="2" t="n">
        <v>94.40000000000001</v>
      </c>
      <c r="O70" s="2" t="n">
        <v>82</v>
      </c>
      <c r="P70" s="2" t="n">
        <v>12.5</v>
      </c>
      <c r="Q70" s="2" t="n">
        <v>98</v>
      </c>
      <c r="R70" s="2" t="n">
        <v>77.3</v>
      </c>
      <c r="S70" s="2" t="n">
        <v>89.90000000000001</v>
      </c>
      <c r="T70" s="2" t="n">
        <v>95</v>
      </c>
      <c r="U70" s="2" t="n">
        <v>94.09999999999999</v>
      </c>
    </row>
    <row r="71">
      <c r="A71" s="3" t="n">
        <v>70</v>
      </c>
      <c r="B71" s="3" t="inlineStr">
        <is>
          <t>Oakwood Secondary</t>
        </is>
      </c>
      <c r="C71" s="3" t="inlineStr">
        <is>
          <t>West</t>
        </is>
      </c>
      <c r="D71" s="3" t="inlineStr">
        <is>
          <t>Public</t>
        </is>
      </c>
      <c r="E71" s="3" t="n">
        <v>386</v>
      </c>
      <c r="F71" s="3" t="n">
        <v>116</v>
      </c>
      <c r="G71" s="3" t="n">
        <v>3.3</v>
      </c>
      <c r="H71" s="3" t="n">
        <v>2054.87</v>
      </c>
      <c r="I71" s="3" t="n">
        <v>7575</v>
      </c>
      <c r="J71" s="3" t="n">
        <v>69</v>
      </c>
      <c r="K71" s="3" t="n">
        <v>0.18</v>
      </c>
      <c r="L71" s="3" t="n">
        <v>12</v>
      </c>
      <c r="M71" s="3" t="n">
        <v>20.5</v>
      </c>
      <c r="N71" s="3" t="n">
        <v>77.8</v>
      </c>
      <c r="O71" s="3" t="n">
        <v>87</v>
      </c>
      <c r="P71" s="3" t="n">
        <v>8.6</v>
      </c>
      <c r="Q71" s="3" t="n">
        <v>79.90000000000001</v>
      </c>
      <c r="R71" s="3" t="n">
        <v>79</v>
      </c>
      <c r="S71" s="3" t="n">
        <v>71.40000000000001</v>
      </c>
      <c r="T71" s="3" t="n">
        <v>82.5</v>
      </c>
      <c r="U71" s="3" t="n">
        <v>83.90000000000001</v>
      </c>
    </row>
    <row r="72">
      <c r="A72" s="2" t="n">
        <v>71</v>
      </c>
      <c r="B72" s="2" t="inlineStr">
        <is>
          <t>Greenfield Academy</t>
        </is>
      </c>
      <c r="C72" s="2" t="inlineStr">
        <is>
          <t>East</t>
        </is>
      </c>
      <c r="D72" s="2" t="inlineStr">
        <is>
          <t>Charter</t>
        </is>
      </c>
      <c r="E72" s="2" t="n">
        <v>839</v>
      </c>
      <c r="F72" s="2" t="n">
        <v>55</v>
      </c>
      <c r="G72" s="2" t="n">
        <v>15.3</v>
      </c>
      <c r="H72" s="2" t="n">
        <v>2173.4</v>
      </c>
      <c r="I72" s="2" t="n">
        <v>8813</v>
      </c>
      <c r="J72" s="2" t="n">
        <v>128</v>
      </c>
      <c r="K72" s="2" t="n">
        <v>0.15</v>
      </c>
      <c r="L72" s="2" t="n">
        <v>5</v>
      </c>
      <c r="M72" s="2" t="n">
        <v>16.8</v>
      </c>
      <c r="N72" s="2" t="n">
        <v>61.2</v>
      </c>
      <c r="O72" s="2" t="n">
        <v>73.09999999999999</v>
      </c>
      <c r="P72" s="2" t="n">
        <v>12.8</v>
      </c>
      <c r="Q72" s="2" t="n">
        <v>70.7</v>
      </c>
      <c r="R72" s="2" t="n">
        <v>77</v>
      </c>
      <c r="S72" s="2" t="n">
        <v>60</v>
      </c>
      <c r="T72" s="2" t="n">
        <v>75.59999999999999</v>
      </c>
      <c r="U72" s="2" t="n">
        <v>76.2</v>
      </c>
    </row>
    <row r="73">
      <c r="A73" s="3" t="n">
        <v>72</v>
      </c>
      <c r="B73" s="3" t="inlineStr">
        <is>
          <t>Northfield Academy</t>
        </is>
      </c>
      <c r="C73" s="3" t="inlineStr">
        <is>
          <t>Central</t>
        </is>
      </c>
      <c r="D73" s="3" t="inlineStr">
        <is>
          <t>Charter</t>
        </is>
      </c>
      <c r="E73" s="3" t="n">
        <v>1516</v>
      </c>
      <c r="F73" s="3" t="n">
        <v>81</v>
      </c>
      <c r="G73" s="3" t="n">
        <v>18.7</v>
      </c>
      <c r="H73" s="3" t="n">
        <v>1670.65</v>
      </c>
      <c r="I73" s="3" t="n">
        <v>4881</v>
      </c>
      <c r="J73" s="3" t="n">
        <v>34</v>
      </c>
      <c r="K73" s="3" t="n">
        <v>0.02</v>
      </c>
      <c r="L73" s="3" t="n">
        <v>6</v>
      </c>
      <c r="M73" s="3" t="n">
        <v>7.6</v>
      </c>
      <c r="N73" s="3" t="n">
        <v>88.09999999999999</v>
      </c>
      <c r="O73" s="3" t="n">
        <v>96.7</v>
      </c>
      <c r="P73" s="3" t="n">
        <v>5.6</v>
      </c>
      <c r="Q73" s="3" t="n">
        <v>70.40000000000001</v>
      </c>
      <c r="R73" s="3" t="n">
        <v>85.2</v>
      </c>
      <c r="S73" s="3" t="n">
        <v>58.8</v>
      </c>
      <c r="T73" s="3" t="n">
        <v>63.5</v>
      </c>
      <c r="U73" s="3" t="n">
        <v>74.3</v>
      </c>
    </row>
    <row r="74">
      <c r="A74" s="2" t="n">
        <v>73</v>
      </c>
      <c r="B74" s="2" t="inlineStr">
        <is>
          <t>Greenfield Academy</t>
        </is>
      </c>
      <c r="C74" s="2" t="inlineStr">
        <is>
          <t>North</t>
        </is>
      </c>
      <c r="D74" s="2" t="inlineStr">
        <is>
          <t>Charter</t>
        </is>
      </c>
      <c r="E74" s="2" t="n">
        <v>1286</v>
      </c>
      <c r="F74" s="2" t="n">
        <v>37</v>
      </c>
      <c r="G74" s="2" t="n">
        <v>34.8</v>
      </c>
      <c r="H74" s="2" t="n">
        <v>3945.26</v>
      </c>
      <c r="I74" s="2" t="n">
        <v>7932</v>
      </c>
      <c r="J74" s="2" t="n">
        <v>194</v>
      </c>
      <c r="K74" s="2" t="n">
        <v>0.15</v>
      </c>
      <c r="L74" s="2" t="n">
        <v>6</v>
      </c>
      <c r="M74" s="2" t="n">
        <v>9.9</v>
      </c>
      <c r="N74" s="2" t="n">
        <v>86.09999999999999</v>
      </c>
      <c r="O74" s="2" t="n">
        <v>92.5</v>
      </c>
      <c r="P74" s="2" t="n">
        <v>8.699999999999999</v>
      </c>
      <c r="Q74" s="2" t="n">
        <v>70.8</v>
      </c>
      <c r="R74" s="2" t="n">
        <v>78.09999999999999</v>
      </c>
      <c r="S74" s="2" t="n">
        <v>64.2</v>
      </c>
      <c r="T74" s="2" t="n">
        <v>72.7</v>
      </c>
      <c r="U74" s="2" t="n">
        <v>73.59999999999999</v>
      </c>
    </row>
    <row r="75">
      <c r="A75" s="3" t="n">
        <v>74</v>
      </c>
      <c r="B75" s="3" t="inlineStr">
        <is>
          <t>Lakeview School</t>
        </is>
      </c>
      <c r="C75" s="3" t="inlineStr">
        <is>
          <t>West</t>
        </is>
      </c>
      <c r="D75" s="3" t="inlineStr">
        <is>
          <t>Charter</t>
        </is>
      </c>
      <c r="E75" s="3" t="n">
        <v>1068</v>
      </c>
      <c r="F75" s="3" t="n">
        <v>72</v>
      </c>
      <c r="G75" s="3" t="n">
        <v>14.8</v>
      </c>
      <c r="H75" s="3" t="n">
        <v>5445.99</v>
      </c>
      <c r="I75" s="3" t="n">
        <v>7285</v>
      </c>
      <c r="J75" s="3" t="n">
        <v>159</v>
      </c>
      <c r="K75" s="3" t="n">
        <v>0.15</v>
      </c>
      <c r="L75" s="3" t="n">
        <v>7</v>
      </c>
      <c r="M75" s="3" t="n">
        <v>19.1</v>
      </c>
      <c r="N75" s="3" t="n">
        <v>55.7</v>
      </c>
      <c r="O75" s="3" t="n">
        <v>82.5</v>
      </c>
      <c r="P75" s="3" t="n">
        <v>4.6</v>
      </c>
      <c r="Q75" s="3" t="n">
        <v>94.09999999999999</v>
      </c>
      <c r="R75" s="3" t="n">
        <v>90.7</v>
      </c>
      <c r="S75" s="3" t="n">
        <v>82.40000000000001</v>
      </c>
      <c r="T75" s="3" t="n">
        <v>86.8</v>
      </c>
      <c r="U75" s="3" t="n">
        <v>92.40000000000001</v>
      </c>
    </row>
    <row r="76">
      <c r="A76" s="2" t="n">
        <v>75</v>
      </c>
      <c r="B76" s="2" t="inlineStr">
        <is>
          <t>Northfield Academy</t>
        </is>
      </c>
      <c r="C76" s="2" t="inlineStr">
        <is>
          <t>North</t>
        </is>
      </c>
      <c r="D76" s="2" t="inlineStr">
        <is>
          <t>Public</t>
        </is>
      </c>
      <c r="E76" s="2" t="n">
        <v>618</v>
      </c>
      <c r="F76" s="2" t="n">
        <v>48</v>
      </c>
      <c r="G76" s="2" t="n">
        <v>12.9</v>
      </c>
      <c r="H76" s="2" t="n">
        <v>7644.61</v>
      </c>
      <c r="I76" s="2" t="n">
        <v>2748</v>
      </c>
      <c r="J76" s="2" t="n">
        <v>411</v>
      </c>
      <c r="K76" s="2" t="n">
        <v>0.67</v>
      </c>
      <c r="L76" s="2" t="n">
        <v>9</v>
      </c>
      <c r="M76" s="2" t="n">
        <v>7.9</v>
      </c>
      <c r="N76" s="2" t="n">
        <v>56</v>
      </c>
      <c r="O76" s="2" t="n">
        <v>84.40000000000001</v>
      </c>
      <c r="P76" s="2" t="n">
        <v>6.7</v>
      </c>
      <c r="Q76" s="2" t="n">
        <v>95.40000000000001</v>
      </c>
      <c r="R76" s="2" t="n">
        <v>86.90000000000001</v>
      </c>
      <c r="S76" s="2" t="n">
        <v>88.09999999999999</v>
      </c>
      <c r="T76" s="2" t="n">
        <v>96.3</v>
      </c>
      <c r="U76" s="2" t="n">
        <v>98.09999999999999</v>
      </c>
    </row>
    <row r="77">
      <c r="A77" s="3" t="n">
        <v>76</v>
      </c>
      <c r="B77" s="3" t="inlineStr">
        <is>
          <t>Sunrise Academy</t>
        </is>
      </c>
      <c r="C77" s="3" t="inlineStr">
        <is>
          <t>North</t>
        </is>
      </c>
      <c r="D77" s="3" t="inlineStr">
        <is>
          <t>Private</t>
        </is>
      </c>
      <c r="E77" s="3" t="n">
        <v>1964</v>
      </c>
      <c r="F77" s="3" t="n">
        <v>104</v>
      </c>
      <c r="G77" s="3" t="n">
        <v>18.9</v>
      </c>
      <c r="H77" s="3" t="n">
        <v>1774.96</v>
      </c>
      <c r="I77" s="3" t="n">
        <v>807</v>
      </c>
      <c r="J77" s="3" t="n">
        <v>255</v>
      </c>
      <c r="K77" s="3" t="n">
        <v>0.13</v>
      </c>
      <c r="L77" s="3" t="n">
        <v>3</v>
      </c>
      <c r="M77" s="3" t="n">
        <v>21.7</v>
      </c>
      <c r="N77" s="3" t="n">
        <v>78.8</v>
      </c>
      <c r="O77" s="3" t="n">
        <v>86.59999999999999</v>
      </c>
      <c r="P77" s="3" t="n">
        <v>10.8</v>
      </c>
      <c r="Q77" s="3" t="n">
        <v>72.59999999999999</v>
      </c>
      <c r="R77" s="3" t="n">
        <v>74.59999999999999</v>
      </c>
      <c r="S77" s="3" t="n">
        <v>67.40000000000001</v>
      </c>
      <c r="T77" s="3" t="n">
        <v>69.8</v>
      </c>
      <c r="U77" s="3" t="n">
        <v>77.40000000000001</v>
      </c>
    </row>
    <row r="78">
      <c r="A78" s="2" t="n">
        <v>77</v>
      </c>
      <c r="B78" s="2" t="inlineStr">
        <is>
          <t>Northfield Academy</t>
        </is>
      </c>
      <c r="C78" s="2" t="inlineStr">
        <is>
          <t>West</t>
        </is>
      </c>
      <c r="D78" s="2" t="inlineStr">
        <is>
          <t>Charter</t>
        </is>
      </c>
      <c r="E78" s="2" t="n">
        <v>941</v>
      </c>
      <c r="F78" s="2" t="n">
        <v>21</v>
      </c>
      <c r="G78" s="2" t="n">
        <v>44.8</v>
      </c>
      <c r="H78" s="2" t="n">
        <v>4338.63</v>
      </c>
      <c r="I78" s="2" t="n">
        <v>2234</v>
      </c>
      <c r="J78" s="2" t="n">
        <v>144</v>
      </c>
      <c r="K78" s="2" t="n">
        <v>0.15</v>
      </c>
      <c r="L78" s="2" t="n">
        <v>14</v>
      </c>
      <c r="M78" s="2" t="n">
        <v>15.1</v>
      </c>
      <c r="N78" s="2" t="n">
        <v>76.2</v>
      </c>
      <c r="O78" s="2" t="n">
        <v>81.5</v>
      </c>
      <c r="P78" s="2" t="n">
        <v>5</v>
      </c>
      <c r="Q78" s="2" t="n">
        <v>69.7</v>
      </c>
      <c r="R78" s="2" t="n">
        <v>88.3</v>
      </c>
      <c r="S78" s="2" t="n">
        <v>63</v>
      </c>
      <c r="T78" s="2" t="n">
        <v>69.90000000000001</v>
      </c>
      <c r="U78" s="2" t="n">
        <v>63.5</v>
      </c>
    </row>
    <row r="79">
      <c r="A79" s="3" t="n">
        <v>78</v>
      </c>
      <c r="B79" s="3" t="inlineStr">
        <is>
          <t>Eastgate Institute</t>
        </is>
      </c>
      <c r="C79" s="3" t="inlineStr">
        <is>
          <t>South</t>
        </is>
      </c>
      <c r="D79" s="3" t="inlineStr">
        <is>
          <t>Private</t>
        </is>
      </c>
      <c r="E79" s="3" t="n">
        <v>919</v>
      </c>
      <c r="F79" s="3" t="n">
        <v>103</v>
      </c>
      <c r="G79" s="3" t="n">
        <v>8.9</v>
      </c>
      <c r="H79" s="3" t="n">
        <v>7728.45</v>
      </c>
      <c r="I79" s="3" t="n">
        <v>2919</v>
      </c>
      <c r="J79" s="3" t="n">
        <v>140</v>
      </c>
      <c r="K79" s="3" t="n">
        <v>0.15</v>
      </c>
      <c r="L79" s="3" t="n">
        <v>4</v>
      </c>
      <c r="M79" s="3" t="n">
        <v>4.5</v>
      </c>
      <c r="N79" s="3" t="n">
        <v>59.9</v>
      </c>
      <c r="O79" s="3" t="n">
        <v>87.5</v>
      </c>
      <c r="P79" s="3" t="n">
        <v>11.5</v>
      </c>
      <c r="Q79" s="3" t="n">
        <v>98</v>
      </c>
      <c r="R79" s="3" t="n">
        <v>73.8</v>
      </c>
      <c r="S79" s="3" t="n">
        <v>85.3</v>
      </c>
      <c r="T79" s="3" t="n">
        <v>97.90000000000001</v>
      </c>
      <c r="U79" s="3" t="n">
        <v>102.1</v>
      </c>
    </row>
    <row r="80">
      <c r="A80" s="2" t="n">
        <v>79</v>
      </c>
      <c r="B80" s="2" t="inlineStr">
        <is>
          <t>Northfield Academy</t>
        </is>
      </c>
      <c r="C80" s="2" t="inlineStr">
        <is>
          <t>West</t>
        </is>
      </c>
      <c r="D80" s="2" t="inlineStr">
        <is>
          <t>Charter</t>
        </is>
      </c>
      <c r="E80" s="2" t="n">
        <v>1356</v>
      </c>
      <c r="F80" s="2" t="n">
        <v>92</v>
      </c>
      <c r="G80" s="2" t="n">
        <v>14.7</v>
      </c>
      <c r="H80" s="2" t="n">
        <v>5629.44</v>
      </c>
      <c r="I80" s="2" t="n">
        <v>5795</v>
      </c>
      <c r="J80" s="2" t="n">
        <v>462</v>
      </c>
      <c r="K80" s="2" t="n">
        <v>0.34</v>
      </c>
      <c r="L80" s="2" t="n">
        <v>11</v>
      </c>
      <c r="M80" s="2" t="n">
        <v>4.6</v>
      </c>
      <c r="N80" s="2" t="n">
        <v>53.4</v>
      </c>
      <c r="O80" s="2" t="n">
        <v>82.8</v>
      </c>
      <c r="P80" s="2" t="n">
        <v>4.9</v>
      </c>
      <c r="Q80" s="2" t="n">
        <v>86.7</v>
      </c>
      <c r="R80" s="2" t="n">
        <v>85.8</v>
      </c>
      <c r="S80" s="2" t="n">
        <v>76.59999999999999</v>
      </c>
      <c r="T80" s="2" t="n">
        <v>83.7</v>
      </c>
      <c r="U80" s="2" t="n">
        <v>85.90000000000001</v>
      </c>
    </row>
    <row r="81">
      <c r="A81" s="3" t="n">
        <v>80</v>
      </c>
      <c r="B81" s="3" t="inlineStr">
        <is>
          <t>Greenfield Academy</t>
        </is>
      </c>
      <c r="C81" s="3" t="inlineStr">
        <is>
          <t>East</t>
        </is>
      </c>
      <c r="D81" s="3" t="inlineStr">
        <is>
          <t>Private</t>
        </is>
      </c>
      <c r="E81" s="3" t="n">
        <v>357</v>
      </c>
      <c r="F81" s="3" t="n">
        <v>92</v>
      </c>
      <c r="G81" s="3" t="n">
        <v>3.9</v>
      </c>
      <c r="H81" s="3" t="n">
        <v>7117.63</v>
      </c>
      <c r="I81" s="3" t="n">
        <v>1979</v>
      </c>
      <c r="J81" s="3" t="n">
        <v>334</v>
      </c>
      <c r="K81" s="3" t="n">
        <v>0.9399999999999999</v>
      </c>
      <c r="L81" s="3" t="n">
        <v>20</v>
      </c>
      <c r="M81" s="3" t="n">
        <v>13.2</v>
      </c>
      <c r="N81" s="3" t="n">
        <v>73.09999999999999</v>
      </c>
      <c r="O81" s="3" t="n">
        <v>86.09999999999999</v>
      </c>
      <c r="P81" s="3" t="n">
        <v>12</v>
      </c>
      <c r="Q81" s="3" t="n">
        <v>98</v>
      </c>
      <c r="R81" s="3" t="n">
        <v>75.5</v>
      </c>
      <c r="S81" s="3" t="n">
        <v>84.90000000000001</v>
      </c>
      <c r="T81" s="3" t="n">
        <v>100.4</v>
      </c>
      <c r="U81" s="3" t="n">
        <v>95.09999999999999</v>
      </c>
    </row>
    <row r="82">
      <c r="A82" s="2" t="n">
        <v>81</v>
      </c>
      <c r="B82" s="2" t="inlineStr">
        <is>
          <t>Westbrook School</t>
        </is>
      </c>
      <c r="C82" s="2" t="inlineStr">
        <is>
          <t>Central</t>
        </is>
      </c>
      <c r="D82" s="2" t="inlineStr">
        <is>
          <t>Public</t>
        </is>
      </c>
      <c r="E82" s="2" t="n">
        <v>326</v>
      </c>
      <c r="F82" s="2" t="n">
        <v>67</v>
      </c>
      <c r="G82" s="2" t="n">
        <v>4.9</v>
      </c>
      <c r="H82" s="2" t="n">
        <v>2172.76</v>
      </c>
      <c r="I82" s="2" t="n">
        <v>6126</v>
      </c>
      <c r="J82" s="2" t="n">
        <v>385</v>
      </c>
      <c r="K82" s="2" t="n">
        <v>1.18</v>
      </c>
      <c r="L82" s="2" t="n">
        <v>3</v>
      </c>
      <c r="M82" s="2" t="n">
        <v>13.1</v>
      </c>
      <c r="N82" s="2" t="n">
        <v>58.6</v>
      </c>
      <c r="O82" s="2" t="n">
        <v>77.2</v>
      </c>
      <c r="P82" s="2" t="n">
        <v>6.8</v>
      </c>
      <c r="Q82" s="2" t="n">
        <v>77.59999999999999</v>
      </c>
      <c r="R82" s="2" t="n">
        <v>86.59999999999999</v>
      </c>
      <c r="S82" s="2" t="n">
        <v>71</v>
      </c>
      <c r="T82" s="2" t="n">
        <v>75.59999999999999</v>
      </c>
      <c r="U82" s="2" t="n">
        <v>74.09999999999999</v>
      </c>
    </row>
    <row r="83">
      <c r="A83" s="3" t="n">
        <v>82</v>
      </c>
      <c r="B83" s="3" t="inlineStr">
        <is>
          <t>Pinnacle High</t>
        </is>
      </c>
      <c r="C83" s="3" t="inlineStr">
        <is>
          <t>East</t>
        </is>
      </c>
      <c r="D83" s="3" t="inlineStr">
        <is>
          <t>Charter</t>
        </is>
      </c>
      <c r="E83" s="3" t="n">
        <v>1424</v>
      </c>
      <c r="F83" s="3" t="n">
        <v>16</v>
      </c>
      <c r="G83" s="3" t="n">
        <v>89</v>
      </c>
      <c r="H83" s="3" t="n">
        <v>6629.98</v>
      </c>
      <c r="I83" s="3" t="n">
        <v>5982</v>
      </c>
      <c r="J83" s="3" t="n">
        <v>53</v>
      </c>
      <c r="K83" s="3" t="n">
        <v>0.04</v>
      </c>
      <c r="L83" s="3" t="n">
        <v>11</v>
      </c>
      <c r="M83" s="3" t="n">
        <v>3.3</v>
      </c>
      <c r="N83" s="3" t="n">
        <v>83.90000000000001</v>
      </c>
      <c r="O83" s="3" t="n">
        <v>78.2</v>
      </c>
      <c r="P83" s="3" t="n">
        <v>11</v>
      </c>
      <c r="Q83" s="3" t="n">
        <v>66.09999999999999</v>
      </c>
      <c r="R83" s="3" t="n">
        <v>82.09999999999999</v>
      </c>
      <c r="S83" s="3" t="n">
        <v>52.4</v>
      </c>
      <c r="T83" s="3" t="n">
        <v>63.4</v>
      </c>
      <c r="U83" s="3" t="n">
        <v>67.40000000000001</v>
      </c>
    </row>
    <row r="84">
      <c r="A84" s="2" t="n">
        <v>83</v>
      </c>
      <c r="B84" s="2" t="inlineStr">
        <is>
          <t>Oakwood Secondary</t>
        </is>
      </c>
      <c r="C84" s="2" t="inlineStr">
        <is>
          <t>East</t>
        </is>
      </c>
      <c r="D84" s="2" t="inlineStr">
        <is>
          <t>Private</t>
        </is>
      </c>
      <c r="E84" s="2" t="n">
        <v>1543</v>
      </c>
      <c r="F84" s="2" t="n">
        <v>99</v>
      </c>
      <c r="G84" s="2" t="n">
        <v>15.6</v>
      </c>
      <c r="H84" s="2" t="n">
        <v>5803.88</v>
      </c>
      <c r="I84" s="2" t="n">
        <v>2612</v>
      </c>
      <c r="J84" s="2" t="n">
        <v>324</v>
      </c>
      <c r="K84" s="2" t="n">
        <v>0.21</v>
      </c>
      <c r="L84" s="2" t="n">
        <v>3</v>
      </c>
      <c r="M84" s="2" t="n">
        <v>8.4</v>
      </c>
      <c r="N84" s="2" t="n">
        <v>68.8</v>
      </c>
      <c r="O84" s="2" t="n">
        <v>93</v>
      </c>
      <c r="P84" s="2" t="n">
        <v>12.3</v>
      </c>
      <c r="Q84" s="2" t="n">
        <v>98</v>
      </c>
      <c r="R84" s="2" t="n">
        <v>78.7</v>
      </c>
      <c r="S84" s="2" t="n">
        <v>85.59999999999999</v>
      </c>
      <c r="T84" s="2" t="n">
        <v>101</v>
      </c>
      <c r="U84" s="2" t="n">
        <v>98.40000000000001</v>
      </c>
    </row>
    <row r="85">
      <c r="A85" s="3" t="n">
        <v>84</v>
      </c>
      <c r="B85" s="3" t="inlineStr">
        <is>
          <t>Pinnacle High</t>
        </is>
      </c>
      <c r="C85" s="3" t="inlineStr">
        <is>
          <t>Central</t>
        </is>
      </c>
      <c r="D85" s="3" t="inlineStr">
        <is>
          <t>Private</t>
        </is>
      </c>
      <c r="E85" s="3" t="n">
        <v>237</v>
      </c>
      <c r="F85" s="3" t="n">
        <v>56</v>
      </c>
      <c r="G85" s="3" t="n">
        <v>4.2</v>
      </c>
      <c r="H85" s="3" t="n">
        <v>3507.63</v>
      </c>
      <c r="I85" s="3" t="n">
        <v>4009</v>
      </c>
      <c r="J85" s="3" t="n">
        <v>194</v>
      </c>
      <c r="K85" s="3" t="n">
        <v>0.82</v>
      </c>
      <c r="L85" s="3" t="n">
        <v>16</v>
      </c>
      <c r="M85" s="3" t="n">
        <v>5.6</v>
      </c>
      <c r="N85" s="3" t="n">
        <v>100</v>
      </c>
      <c r="O85" s="3" t="n">
        <v>74.5</v>
      </c>
      <c r="P85" s="3" t="n">
        <v>4.8</v>
      </c>
      <c r="Q85" s="3" t="n">
        <v>97.40000000000001</v>
      </c>
      <c r="R85" s="3" t="n">
        <v>90.5</v>
      </c>
      <c r="S85" s="3" t="n">
        <v>87</v>
      </c>
      <c r="T85" s="3" t="n">
        <v>101.2</v>
      </c>
      <c r="U85" s="3" t="n">
        <v>97.8</v>
      </c>
    </row>
    <row r="86">
      <c r="A86" s="2" t="n">
        <v>85</v>
      </c>
      <c r="B86" s="2" t="inlineStr">
        <is>
          <t>Sunrise Academy</t>
        </is>
      </c>
      <c r="C86" s="2" t="inlineStr">
        <is>
          <t>Central</t>
        </is>
      </c>
      <c r="D86" s="2" t="inlineStr">
        <is>
          <t>Public</t>
        </is>
      </c>
      <c r="E86" s="2" t="n">
        <v>1423</v>
      </c>
      <c r="F86" s="2" t="n">
        <v>58</v>
      </c>
      <c r="G86" s="2" t="n">
        <v>24.5</v>
      </c>
      <c r="H86" s="2" t="n">
        <v>2502.64</v>
      </c>
      <c r="I86" s="2" t="n">
        <v>3462</v>
      </c>
      <c r="J86" s="2" t="n">
        <v>445</v>
      </c>
      <c r="K86" s="2" t="n">
        <v>0.31</v>
      </c>
      <c r="L86" s="2" t="n">
        <v>20</v>
      </c>
      <c r="M86" s="2" t="n">
        <v>20.4</v>
      </c>
      <c r="N86" s="2" t="n">
        <v>58.3</v>
      </c>
      <c r="O86" s="2" t="n">
        <v>82.7</v>
      </c>
      <c r="P86" s="2" t="n">
        <v>6.5</v>
      </c>
      <c r="Q86" s="2" t="n">
        <v>74.90000000000001</v>
      </c>
      <c r="R86" s="2" t="n">
        <v>84.40000000000001</v>
      </c>
      <c r="S86" s="2" t="n">
        <v>65.5</v>
      </c>
      <c r="T86" s="2" t="n">
        <v>71.5</v>
      </c>
      <c r="U86" s="2" t="n">
        <v>78.90000000000001</v>
      </c>
    </row>
    <row r="87">
      <c r="A87" s="3" t="n">
        <v>86</v>
      </c>
      <c r="B87" s="3" t="inlineStr">
        <is>
          <t>Westbrook School</t>
        </is>
      </c>
      <c r="C87" s="3" t="inlineStr">
        <is>
          <t>South</t>
        </is>
      </c>
      <c r="D87" s="3" t="inlineStr">
        <is>
          <t>Charter</t>
        </is>
      </c>
      <c r="E87" s="3" t="n">
        <v>689</v>
      </c>
      <c r="F87" s="3" t="n">
        <v>49</v>
      </c>
      <c r="G87" s="3" t="n">
        <v>14.1</v>
      </c>
      <c r="H87" s="3" t="n">
        <v>7776.38</v>
      </c>
      <c r="I87" s="3" t="n">
        <v>8184</v>
      </c>
      <c r="J87" s="3" t="n">
        <v>482</v>
      </c>
      <c r="K87" s="3" t="n">
        <v>0.7</v>
      </c>
      <c r="L87" s="3" t="n">
        <v>7</v>
      </c>
      <c r="M87" s="3" t="n">
        <v>9.800000000000001</v>
      </c>
      <c r="N87" s="3" t="n">
        <v>97.40000000000001</v>
      </c>
      <c r="O87" s="3" t="n">
        <v>98.5</v>
      </c>
      <c r="P87" s="3" t="n">
        <v>7.2</v>
      </c>
      <c r="Q87" s="3" t="n">
        <v>98</v>
      </c>
      <c r="R87" s="3" t="n">
        <v>84.40000000000001</v>
      </c>
      <c r="S87" s="3" t="n">
        <v>87.7</v>
      </c>
      <c r="T87" s="3" t="n">
        <v>105.5</v>
      </c>
      <c r="U87" s="3" t="n">
        <v>103.1</v>
      </c>
    </row>
    <row r="88">
      <c r="A88" s="2" t="n">
        <v>87</v>
      </c>
      <c r="B88" s="2" t="inlineStr">
        <is>
          <t>Northfield Academy</t>
        </is>
      </c>
      <c r="C88" s="2" t="inlineStr">
        <is>
          <t>South</t>
        </is>
      </c>
      <c r="D88" s="2" t="inlineStr">
        <is>
          <t>Private</t>
        </is>
      </c>
      <c r="E88" s="2" t="n">
        <v>306</v>
      </c>
      <c r="F88" s="2" t="n">
        <v>92</v>
      </c>
      <c r="G88" s="2" t="n">
        <v>3.3</v>
      </c>
      <c r="H88" s="2" t="n">
        <v>4623.84</v>
      </c>
      <c r="I88" s="2" t="n">
        <v>6581</v>
      </c>
      <c r="J88" s="2" t="n">
        <v>303</v>
      </c>
      <c r="K88" s="2" t="n">
        <v>0.99</v>
      </c>
      <c r="L88" s="2" t="n">
        <v>4</v>
      </c>
      <c r="M88" s="2" t="n">
        <v>18.1</v>
      </c>
      <c r="N88" s="2" t="n">
        <v>75.8</v>
      </c>
      <c r="O88" s="2" t="n">
        <v>73.59999999999999</v>
      </c>
      <c r="P88" s="2" t="n">
        <v>1.7</v>
      </c>
      <c r="Q88" s="2" t="n">
        <v>87.09999999999999</v>
      </c>
      <c r="R88" s="2" t="n">
        <v>96.09999999999999</v>
      </c>
      <c r="S88" s="2" t="n">
        <v>77</v>
      </c>
      <c r="T88" s="2" t="n">
        <v>92.40000000000001</v>
      </c>
      <c r="U88" s="2" t="n">
        <v>80.59999999999999</v>
      </c>
    </row>
    <row r="89">
      <c r="A89" s="3" t="n">
        <v>88</v>
      </c>
      <c r="B89" s="3" t="inlineStr">
        <is>
          <t>Hillcrest Institute</t>
        </is>
      </c>
      <c r="C89" s="3" t="inlineStr">
        <is>
          <t>West</t>
        </is>
      </c>
      <c r="D89" s="3" t="inlineStr">
        <is>
          <t>Private</t>
        </is>
      </c>
      <c r="E89" s="3" t="n">
        <v>254</v>
      </c>
      <c r="F89" s="3" t="n">
        <v>63</v>
      </c>
      <c r="G89" s="3" t="n">
        <v>4</v>
      </c>
      <c r="H89" s="3" t="n">
        <v>1846.17</v>
      </c>
      <c r="I89" s="3" t="n">
        <v>8724</v>
      </c>
      <c r="J89" s="3" t="n">
        <v>211</v>
      </c>
      <c r="K89" s="3" t="n">
        <v>0.83</v>
      </c>
      <c r="L89" s="3" t="n">
        <v>8</v>
      </c>
      <c r="M89" s="3" t="n">
        <v>10.3</v>
      </c>
      <c r="N89" s="3" t="n">
        <v>54.1</v>
      </c>
      <c r="O89" s="3" t="n">
        <v>76.5</v>
      </c>
      <c r="P89" s="3" t="n">
        <v>5.1</v>
      </c>
      <c r="Q89" s="3" t="n">
        <v>68.8</v>
      </c>
      <c r="R89" s="3" t="n">
        <v>91.90000000000001</v>
      </c>
      <c r="S89" s="3" t="n">
        <v>60.4</v>
      </c>
      <c r="T89" s="3" t="n">
        <v>63.1</v>
      </c>
      <c r="U89" s="3" t="n">
        <v>61.4</v>
      </c>
    </row>
    <row r="90">
      <c r="A90" s="2" t="n">
        <v>89</v>
      </c>
      <c r="B90" s="2" t="inlineStr">
        <is>
          <t>Westbrook School</t>
        </is>
      </c>
      <c r="C90" s="2" t="inlineStr">
        <is>
          <t>South</t>
        </is>
      </c>
      <c r="D90" s="2" t="inlineStr">
        <is>
          <t>Charter</t>
        </is>
      </c>
      <c r="E90" s="2" t="n">
        <v>1160</v>
      </c>
      <c r="F90" s="2" t="n">
        <v>67</v>
      </c>
      <c r="G90" s="2" t="n">
        <v>17.3</v>
      </c>
      <c r="H90" s="2" t="n">
        <v>5499.76</v>
      </c>
      <c r="I90" s="2" t="n">
        <v>1798</v>
      </c>
      <c r="J90" s="2" t="n">
        <v>29</v>
      </c>
      <c r="K90" s="2" t="n">
        <v>0.03</v>
      </c>
      <c r="L90" s="2" t="n">
        <v>9</v>
      </c>
      <c r="M90" s="2" t="n">
        <v>6.2</v>
      </c>
      <c r="N90" s="2" t="n">
        <v>57.5</v>
      </c>
      <c r="O90" s="2" t="n">
        <v>97.3</v>
      </c>
      <c r="P90" s="2" t="n">
        <v>9.300000000000001</v>
      </c>
      <c r="Q90" s="2" t="n">
        <v>90.5</v>
      </c>
      <c r="R90" s="2" t="n">
        <v>84.2</v>
      </c>
      <c r="S90" s="2" t="n">
        <v>83.09999999999999</v>
      </c>
      <c r="T90" s="2" t="n">
        <v>84.40000000000001</v>
      </c>
      <c r="U90" s="2" t="n">
        <v>86.3</v>
      </c>
    </row>
    <row r="91">
      <c r="A91" s="3" t="n">
        <v>90</v>
      </c>
      <c r="B91" s="3" t="inlineStr">
        <is>
          <t>Northfield Academy</t>
        </is>
      </c>
      <c r="C91" s="3" t="inlineStr">
        <is>
          <t>West</t>
        </is>
      </c>
      <c r="D91" s="3" t="inlineStr">
        <is>
          <t>Public</t>
        </is>
      </c>
      <c r="E91" s="3" t="n">
        <v>427</v>
      </c>
      <c r="F91" s="3" t="n">
        <v>117</v>
      </c>
      <c r="G91" s="3" t="n">
        <v>3.6</v>
      </c>
      <c r="H91" s="3" t="n">
        <v>7383.45</v>
      </c>
      <c r="I91" s="3" t="n">
        <v>9282</v>
      </c>
      <c r="J91" s="3" t="n">
        <v>28</v>
      </c>
      <c r="K91" s="3" t="n">
        <v>0.07000000000000001</v>
      </c>
      <c r="L91" s="3" t="n">
        <v>17</v>
      </c>
      <c r="M91" s="3" t="n">
        <v>14.8</v>
      </c>
      <c r="N91" s="3" t="n">
        <v>85.90000000000001</v>
      </c>
      <c r="O91" s="3" t="n">
        <v>78.40000000000001</v>
      </c>
      <c r="P91" s="3" t="n">
        <v>0.5</v>
      </c>
      <c r="Q91" s="3" t="n">
        <v>98</v>
      </c>
      <c r="R91" s="3" t="n">
        <v>99</v>
      </c>
      <c r="S91" s="3" t="n">
        <v>91.09999999999999</v>
      </c>
      <c r="T91" s="3" t="n">
        <v>100.7</v>
      </c>
      <c r="U91" s="3" t="n">
        <v>98.40000000000001</v>
      </c>
    </row>
    <row r="92">
      <c r="A92" s="2" t="n">
        <v>91</v>
      </c>
      <c r="B92" s="2" t="inlineStr">
        <is>
          <t>Sunrise Academy</t>
        </is>
      </c>
      <c r="C92" s="2" t="inlineStr">
        <is>
          <t>North</t>
        </is>
      </c>
      <c r="D92" s="2" t="inlineStr">
        <is>
          <t>Charter</t>
        </is>
      </c>
      <c r="E92" s="2" t="n">
        <v>1314</v>
      </c>
      <c r="F92" s="2" t="n">
        <v>74</v>
      </c>
      <c r="G92" s="2" t="n">
        <v>17.8</v>
      </c>
      <c r="H92" s="2" t="n">
        <v>6611.68</v>
      </c>
      <c r="I92" s="2" t="n">
        <v>8816</v>
      </c>
      <c r="J92" s="2" t="n">
        <v>303</v>
      </c>
      <c r="K92" s="2" t="n">
        <v>0.23</v>
      </c>
      <c r="L92" s="2" t="n">
        <v>1</v>
      </c>
      <c r="M92" s="2" t="n">
        <v>10.4</v>
      </c>
      <c r="N92" s="2" t="n">
        <v>73.5</v>
      </c>
      <c r="O92" s="2" t="n">
        <v>88.40000000000001</v>
      </c>
      <c r="P92" s="2" t="n">
        <v>14.7</v>
      </c>
      <c r="Q92" s="2" t="n">
        <v>93.5</v>
      </c>
      <c r="R92" s="2" t="n">
        <v>65.8</v>
      </c>
      <c r="S92" s="2" t="n">
        <v>80.59999999999999</v>
      </c>
      <c r="T92" s="2" t="n">
        <v>91</v>
      </c>
      <c r="U92" s="2" t="n">
        <v>97.2</v>
      </c>
    </row>
    <row r="93">
      <c r="A93" s="3" t="n">
        <v>92</v>
      </c>
      <c r="B93" s="3" t="inlineStr">
        <is>
          <t>Riverside High</t>
        </is>
      </c>
      <c r="C93" s="3" t="inlineStr">
        <is>
          <t>Central</t>
        </is>
      </c>
      <c r="D93" s="3" t="inlineStr">
        <is>
          <t>Charter</t>
        </is>
      </c>
      <c r="E93" s="3" t="n">
        <v>1749</v>
      </c>
      <c r="F93" s="3" t="n">
        <v>52</v>
      </c>
      <c r="G93" s="3" t="n">
        <v>33.6</v>
      </c>
      <c r="H93" s="3" t="n">
        <v>2367.16</v>
      </c>
      <c r="I93" s="3" t="n">
        <v>6272</v>
      </c>
      <c r="J93" s="3" t="n">
        <v>299</v>
      </c>
      <c r="K93" s="3" t="n">
        <v>0.17</v>
      </c>
      <c r="L93" s="3" t="n">
        <v>11</v>
      </c>
      <c r="M93" s="3" t="n">
        <v>20.5</v>
      </c>
      <c r="N93" s="3" t="n">
        <v>58.8</v>
      </c>
      <c r="O93" s="3" t="n">
        <v>92.59999999999999</v>
      </c>
      <c r="P93" s="3" t="n">
        <v>7.2</v>
      </c>
      <c r="Q93" s="3" t="n">
        <v>71.7</v>
      </c>
      <c r="R93" s="3" t="n">
        <v>86.90000000000001</v>
      </c>
      <c r="S93" s="3" t="n">
        <v>58.6</v>
      </c>
      <c r="T93" s="3" t="n">
        <v>64.7</v>
      </c>
      <c r="U93" s="3" t="n">
        <v>76.09999999999999</v>
      </c>
    </row>
    <row r="94">
      <c r="A94" s="2" t="n">
        <v>93</v>
      </c>
      <c r="B94" s="2" t="inlineStr">
        <is>
          <t>Westbrook School</t>
        </is>
      </c>
      <c r="C94" s="2" t="inlineStr">
        <is>
          <t>North</t>
        </is>
      </c>
      <c r="D94" s="2" t="inlineStr">
        <is>
          <t>Private</t>
        </is>
      </c>
      <c r="E94" s="2" t="n">
        <v>612</v>
      </c>
      <c r="F94" s="2" t="n">
        <v>15</v>
      </c>
      <c r="G94" s="2" t="n">
        <v>40.8</v>
      </c>
      <c r="H94" s="2" t="n">
        <v>6642.21</v>
      </c>
      <c r="I94" s="2" t="n">
        <v>1186</v>
      </c>
      <c r="J94" s="2" t="n">
        <v>181</v>
      </c>
      <c r="K94" s="2" t="n">
        <v>0.3</v>
      </c>
      <c r="L94" s="2" t="n">
        <v>10</v>
      </c>
      <c r="M94" s="2" t="n">
        <v>13.4</v>
      </c>
      <c r="N94" s="2" t="n">
        <v>99.5</v>
      </c>
      <c r="O94" s="2" t="n">
        <v>85.7</v>
      </c>
      <c r="P94" s="2" t="n">
        <v>4.2</v>
      </c>
      <c r="Q94" s="2" t="n">
        <v>95.7</v>
      </c>
      <c r="R94" s="2" t="n">
        <v>88.5</v>
      </c>
      <c r="S94" s="2" t="n">
        <v>87.09999999999999</v>
      </c>
      <c r="T94" s="2" t="n">
        <v>100.2</v>
      </c>
      <c r="U94" s="2" t="n">
        <v>101.6</v>
      </c>
    </row>
    <row r="95">
      <c r="A95" s="3" t="n">
        <v>94</v>
      </c>
      <c r="B95" s="3" t="inlineStr">
        <is>
          <t>Sunrise Academy</t>
        </is>
      </c>
      <c r="C95" s="3" t="inlineStr">
        <is>
          <t>East</t>
        </is>
      </c>
      <c r="D95" s="3" t="inlineStr">
        <is>
          <t>Public</t>
        </is>
      </c>
      <c r="E95" s="3" t="n">
        <v>1837</v>
      </c>
      <c r="F95" s="3" t="n">
        <v>57</v>
      </c>
      <c r="G95" s="3" t="n">
        <v>32.2</v>
      </c>
      <c r="H95" s="3" t="n">
        <v>4340.18</v>
      </c>
      <c r="I95" s="3" t="n">
        <v>7053</v>
      </c>
      <c r="J95" s="3" t="n">
        <v>400</v>
      </c>
      <c r="K95" s="3" t="n">
        <v>0.22</v>
      </c>
      <c r="L95" s="3" t="n">
        <v>15</v>
      </c>
      <c r="M95" s="3" t="n">
        <v>22.5</v>
      </c>
      <c r="N95" s="3" t="n">
        <v>69.3</v>
      </c>
      <c r="O95" s="3" t="n">
        <v>98.2</v>
      </c>
      <c r="P95" s="3" t="n">
        <v>7.7</v>
      </c>
      <c r="Q95" s="3" t="n">
        <v>80.7</v>
      </c>
      <c r="R95" s="3" t="n">
        <v>88.8</v>
      </c>
      <c r="S95" s="3" t="n">
        <v>70.5</v>
      </c>
      <c r="T95" s="3" t="n">
        <v>85.5</v>
      </c>
      <c r="U95" s="3" t="n">
        <v>84.3</v>
      </c>
    </row>
    <row r="96">
      <c r="A96" s="2" t="n">
        <v>95</v>
      </c>
      <c r="B96" s="2" t="inlineStr">
        <is>
          <t>Riverside High</t>
        </is>
      </c>
      <c r="C96" s="2" t="inlineStr">
        <is>
          <t>West</t>
        </is>
      </c>
      <c r="D96" s="2" t="inlineStr">
        <is>
          <t>Charter</t>
        </is>
      </c>
      <c r="E96" s="2" t="n">
        <v>1884</v>
      </c>
      <c r="F96" s="2" t="n">
        <v>33</v>
      </c>
      <c r="G96" s="2" t="n">
        <v>57.1</v>
      </c>
      <c r="H96" s="2" t="n">
        <v>5045.58</v>
      </c>
      <c r="I96" s="2" t="n">
        <v>5762</v>
      </c>
      <c r="J96" s="2" t="n">
        <v>72</v>
      </c>
      <c r="K96" s="2" t="n">
        <v>0.04</v>
      </c>
      <c r="L96" s="2" t="n">
        <v>3</v>
      </c>
      <c r="M96" s="2" t="n">
        <v>8.9</v>
      </c>
      <c r="N96" s="2" t="n">
        <v>64.8</v>
      </c>
      <c r="O96" s="2" t="n">
        <v>82.90000000000001</v>
      </c>
      <c r="P96" s="2" t="n">
        <v>10.9</v>
      </c>
      <c r="Q96" s="2" t="n">
        <v>62.2</v>
      </c>
      <c r="R96" s="2" t="n">
        <v>77.59999999999999</v>
      </c>
      <c r="S96" s="2" t="n">
        <v>52.7</v>
      </c>
      <c r="T96" s="2" t="n">
        <v>65.8</v>
      </c>
      <c r="U96" s="2" t="n">
        <v>68.8</v>
      </c>
    </row>
    <row r="97">
      <c r="A97" s="3" t="n">
        <v>96</v>
      </c>
      <c r="B97" s="3" t="inlineStr">
        <is>
          <t>Northfield Academy</t>
        </is>
      </c>
      <c r="C97" s="3" t="inlineStr">
        <is>
          <t>West</t>
        </is>
      </c>
      <c r="D97" s="3" t="inlineStr">
        <is>
          <t>Private</t>
        </is>
      </c>
      <c r="E97" s="3" t="n">
        <v>1509</v>
      </c>
      <c r="F97" s="3" t="n">
        <v>111</v>
      </c>
      <c r="G97" s="3" t="n">
        <v>13.6</v>
      </c>
      <c r="H97" s="3" t="n">
        <v>7661.38</v>
      </c>
      <c r="I97" s="3" t="n">
        <v>1729</v>
      </c>
      <c r="J97" s="3" t="n">
        <v>363</v>
      </c>
      <c r="K97" s="3" t="n">
        <v>0.24</v>
      </c>
      <c r="L97" s="3" t="n">
        <v>13</v>
      </c>
      <c r="M97" s="3" t="n">
        <v>9.699999999999999</v>
      </c>
      <c r="N97" s="3" t="n">
        <v>90.09999999999999</v>
      </c>
      <c r="O97" s="3" t="n">
        <v>89.7</v>
      </c>
      <c r="P97" s="3" t="n">
        <v>14.3</v>
      </c>
      <c r="Q97" s="3" t="n">
        <v>98</v>
      </c>
      <c r="R97" s="3" t="n">
        <v>72.5</v>
      </c>
      <c r="S97" s="3" t="n">
        <v>85.2</v>
      </c>
      <c r="T97" s="3" t="n">
        <v>90.59999999999999</v>
      </c>
      <c r="U97" s="3" t="n">
        <v>91.09999999999999</v>
      </c>
    </row>
    <row r="98">
      <c r="A98" s="2" t="n">
        <v>97</v>
      </c>
      <c r="B98" s="2" t="inlineStr">
        <is>
          <t>Sunrise Academy</t>
        </is>
      </c>
      <c r="C98" s="2" t="inlineStr">
        <is>
          <t>East</t>
        </is>
      </c>
      <c r="D98" s="2" t="inlineStr">
        <is>
          <t>Private</t>
        </is>
      </c>
      <c r="E98" s="2" t="n">
        <v>1361</v>
      </c>
      <c r="F98" s="2" t="n">
        <v>14</v>
      </c>
      <c r="G98" s="2" t="n">
        <v>97.2</v>
      </c>
      <c r="H98" s="2" t="n">
        <v>5433.12</v>
      </c>
      <c r="I98" s="2" t="n">
        <v>7871</v>
      </c>
      <c r="J98" s="2" t="n">
        <v>209</v>
      </c>
      <c r="K98" s="2" t="n">
        <v>0.15</v>
      </c>
      <c r="L98" s="2" t="n">
        <v>12</v>
      </c>
      <c r="M98" s="2" t="n">
        <v>11.7</v>
      </c>
      <c r="N98" s="2" t="n">
        <v>53.8</v>
      </c>
      <c r="O98" s="2" t="n">
        <v>74</v>
      </c>
      <c r="P98" s="2" t="n">
        <v>5.8</v>
      </c>
      <c r="Q98" s="2" t="n">
        <v>44</v>
      </c>
      <c r="R98" s="2" t="n">
        <v>86.2</v>
      </c>
      <c r="S98" s="2" t="n">
        <v>30</v>
      </c>
      <c r="T98" s="2" t="n">
        <v>36.4</v>
      </c>
      <c r="U98" s="2" t="n">
        <v>39</v>
      </c>
    </row>
    <row r="99">
      <c r="A99" s="3" t="n">
        <v>98</v>
      </c>
      <c r="B99" s="3" t="inlineStr">
        <is>
          <t>Eastgate Institute</t>
        </is>
      </c>
      <c r="C99" s="3" t="inlineStr">
        <is>
          <t>West</t>
        </is>
      </c>
      <c r="D99" s="3" t="inlineStr">
        <is>
          <t>Charter</t>
        </is>
      </c>
      <c r="E99" s="3" t="n">
        <v>441</v>
      </c>
      <c r="F99" s="3" t="n">
        <v>43</v>
      </c>
      <c r="G99" s="3" t="n">
        <v>10.3</v>
      </c>
      <c r="H99" s="3" t="n">
        <v>6537.27</v>
      </c>
      <c r="I99" s="3" t="n">
        <v>7811</v>
      </c>
      <c r="J99" s="3" t="n">
        <v>129</v>
      </c>
      <c r="K99" s="3" t="n">
        <v>0.29</v>
      </c>
      <c r="L99" s="3" t="n">
        <v>20</v>
      </c>
      <c r="M99" s="3" t="n">
        <v>7.9</v>
      </c>
      <c r="N99" s="3" t="n">
        <v>95.8</v>
      </c>
      <c r="O99" s="3" t="n">
        <v>84.2</v>
      </c>
      <c r="P99" s="3" t="n">
        <v>2.3</v>
      </c>
      <c r="Q99" s="3" t="n">
        <v>98</v>
      </c>
      <c r="R99" s="3" t="n">
        <v>94.90000000000001</v>
      </c>
      <c r="S99" s="3" t="n">
        <v>84</v>
      </c>
      <c r="T99" s="3" t="n">
        <v>97.09999999999999</v>
      </c>
      <c r="U99" s="3" t="n">
        <v>91.40000000000001</v>
      </c>
    </row>
    <row r="100">
      <c r="A100" s="2" t="n">
        <v>99</v>
      </c>
      <c r="B100" s="2" t="inlineStr">
        <is>
          <t>Sunrise Academy</t>
        </is>
      </c>
      <c r="C100" s="2" t="inlineStr">
        <is>
          <t>East</t>
        </is>
      </c>
      <c r="D100" s="2" t="inlineStr">
        <is>
          <t>Charter</t>
        </is>
      </c>
      <c r="E100" s="2" t="n">
        <v>332</v>
      </c>
      <c r="F100" s="2" t="n">
        <v>80</v>
      </c>
      <c r="G100" s="2" t="n">
        <v>4.2</v>
      </c>
      <c r="H100" s="2" t="n">
        <v>5024.11</v>
      </c>
      <c r="I100" s="2" t="n">
        <v>5414</v>
      </c>
      <c r="J100" s="2" t="n">
        <v>455</v>
      </c>
      <c r="K100" s="2" t="n">
        <v>1.37</v>
      </c>
      <c r="L100" s="2" t="n">
        <v>6</v>
      </c>
      <c r="M100" s="2" t="n">
        <v>18.1</v>
      </c>
      <c r="N100" s="2" t="n">
        <v>96.40000000000001</v>
      </c>
      <c r="O100" s="2" t="n">
        <v>88.5</v>
      </c>
      <c r="P100" s="2" t="n">
        <v>12</v>
      </c>
      <c r="Q100" s="2" t="n">
        <v>98</v>
      </c>
      <c r="R100" s="2" t="n">
        <v>72.2</v>
      </c>
      <c r="S100" s="2" t="n">
        <v>91</v>
      </c>
      <c r="T100" s="2" t="n">
        <v>92.2</v>
      </c>
      <c r="U100" s="2" t="n">
        <v>102.6</v>
      </c>
    </row>
    <row r="101">
      <c r="A101" s="3" t="n">
        <v>100</v>
      </c>
      <c r="B101" s="3" t="inlineStr">
        <is>
          <t>Greenfield Academy</t>
        </is>
      </c>
      <c r="C101" s="3" t="inlineStr">
        <is>
          <t>East</t>
        </is>
      </c>
      <c r="D101" s="3" t="inlineStr">
        <is>
          <t>Charter</t>
        </is>
      </c>
      <c r="E101" s="3" t="n">
        <v>1372</v>
      </c>
      <c r="F101" s="3" t="n">
        <v>57</v>
      </c>
      <c r="G101" s="3" t="n">
        <v>24.1</v>
      </c>
      <c r="H101" s="3" t="n">
        <v>4538.14</v>
      </c>
      <c r="I101" s="3" t="n">
        <v>9538</v>
      </c>
      <c r="J101" s="3" t="n">
        <v>86</v>
      </c>
      <c r="K101" s="3" t="n">
        <v>0.06</v>
      </c>
      <c r="L101" s="3" t="n">
        <v>20</v>
      </c>
      <c r="M101" s="3" t="n">
        <v>22.2</v>
      </c>
      <c r="N101" s="3" t="n">
        <v>53.3</v>
      </c>
      <c r="O101" s="3" t="n">
        <v>81.5</v>
      </c>
      <c r="P101" s="3" t="n">
        <v>10.9</v>
      </c>
      <c r="Q101" s="3" t="n">
        <v>80.40000000000001</v>
      </c>
      <c r="R101" s="3" t="n">
        <v>77.3</v>
      </c>
      <c r="S101" s="3" t="n">
        <v>71.3</v>
      </c>
      <c r="T101" s="3" t="n">
        <v>81.59999999999999</v>
      </c>
      <c r="U101" s="3" t="n">
        <v>74.40000000000001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</cols>
  <sheetData>
    <row r="1">
      <c r="A1" s="4" t="inlineStr">
        <is>
          <t>Educational Outcomes — Summary Statistics</t>
        </is>
      </c>
    </row>
    <row r="3">
      <c r="A3" s="5" t="inlineStr">
        <is>
          <t>Metric</t>
        </is>
      </c>
      <c r="B3" s="5" t="inlineStr">
        <is>
          <t>Average</t>
        </is>
      </c>
      <c r="C3" s="5" t="inlineStr">
        <is>
          <t>Min</t>
        </is>
      </c>
      <c r="D3" s="5" t="inlineStr">
        <is>
          <t>Max</t>
        </is>
      </c>
    </row>
    <row r="4">
      <c r="A4" s="6" t="inlineStr">
        <is>
          <t>Enrollment</t>
        </is>
      </c>
      <c r="B4" s="7">
        <f>AVERAGE(Student_Performance_Data!E2:E101)</f>
        <v/>
      </c>
      <c r="C4" s="7">
        <f>MIN(Student_Performance_Data!E2:E101)</f>
        <v/>
      </c>
      <c r="D4" s="7">
        <f>MAX(Student_Performance_Data!E2:E101)</f>
        <v/>
      </c>
    </row>
    <row r="5">
      <c r="A5" s="6" t="inlineStr">
        <is>
          <t>Student-Teacher Ratio</t>
        </is>
      </c>
      <c r="B5" s="7">
        <f>AVERAGE(Student_Performance_Data!G2:G101)</f>
        <v/>
      </c>
      <c r="C5" s="7">
        <f>MIN(Student_Performance_Data!G2:G101)</f>
        <v/>
      </c>
      <c r="D5" s="7">
        <f>MAX(Student_Performance_Data!G2:G101)</f>
        <v/>
      </c>
    </row>
    <row r="6">
      <c r="A6" s="6" t="inlineStr">
        <is>
          <t>Budget/Student (USD)</t>
        </is>
      </c>
      <c r="B6" s="7">
        <f>AVERAGE(Student_Performance_Data!H2:H101)</f>
        <v/>
      </c>
      <c r="C6" s="7">
        <f>MIN(Student_Performance_Data!H2:H101)</f>
        <v/>
      </c>
      <c r="D6" s="7">
        <f>MAX(Student_Performance_Data!H2:H101)</f>
        <v/>
      </c>
    </row>
    <row r="7">
      <c r="A7" s="6" t="inlineStr">
        <is>
          <t>Library Books</t>
        </is>
      </c>
      <c r="B7" s="7">
        <f>AVERAGE(Student_Performance_Data!I2:I101)</f>
        <v/>
      </c>
      <c r="C7" s="7">
        <f>MIN(Student_Performance_Data!I2:I101)</f>
        <v/>
      </c>
      <c r="D7" s="7">
        <f>MAX(Student_Performance_Data!I2:I101)</f>
        <v/>
      </c>
    </row>
    <row r="8">
      <c r="A8" s="6" t="inlineStr">
        <is>
          <t>Computers</t>
        </is>
      </c>
      <c r="B8" s="7">
        <f>AVERAGE(Student_Performance_Data!J2:J101)</f>
        <v/>
      </c>
      <c r="C8" s="7">
        <f>MIN(Student_Performance_Data!J2:J101)</f>
        <v/>
      </c>
      <c r="D8" s="7">
        <f>MAX(Student_Performance_Data!J2:J101)</f>
        <v/>
      </c>
    </row>
    <row r="9">
      <c r="A9" s="6" t="inlineStr">
        <is>
          <t>Extracurricular Programs</t>
        </is>
      </c>
      <c r="B9" s="7">
        <f>AVERAGE(Student_Performance_Data!L2:L101)</f>
        <v/>
      </c>
      <c r="C9" s="7">
        <f>MIN(Student_Performance_Data!L2:L101)</f>
        <v/>
      </c>
      <c r="D9" s="7">
        <f>MAX(Student_Performance_Data!L2:L101)</f>
        <v/>
      </c>
    </row>
    <row r="10">
      <c r="A10" s="6" t="inlineStr">
        <is>
          <t>Teacher Experience (Yrs)</t>
        </is>
      </c>
      <c r="B10" s="7">
        <f>AVERAGE(Student_Performance_Data!M2:M101)</f>
        <v/>
      </c>
      <c r="C10" s="7">
        <f>MIN(Student_Performance_Data!M2:M101)</f>
        <v/>
      </c>
      <c r="D10" s="7">
        <f>MAX(Student_Performance_Data!M2:M101)</f>
        <v/>
      </c>
    </row>
    <row r="11">
      <c r="A11" s="6" t="inlineStr">
        <is>
          <t>Teacher Qualification (%)</t>
        </is>
      </c>
      <c r="B11" s="7">
        <f>AVERAGE(Student_Performance_Data!N2:N101)</f>
        <v/>
      </c>
      <c r="C11" s="7">
        <f>MIN(Student_Performance_Data!N2:N101)</f>
        <v/>
      </c>
      <c r="D11" s="7">
        <f>MAX(Student_Performance_Data!N2:N101)</f>
        <v/>
      </c>
    </row>
    <row r="12">
      <c r="A12" s="6" t="inlineStr">
        <is>
          <t>Attendance Rate (%)</t>
        </is>
      </c>
      <c r="B12" s="7">
        <f>AVERAGE(Student_Performance_Data!O2:O101)</f>
        <v/>
      </c>
      <c r="C12" s="7">
        <f>MIN(Student_Performance_Data!O2:O101)</f>
        <v/>
      </c>
      <c r="D12" s="7">
        <f>MAX(Student_Performance_Data!O2:O101)</f>
        <v/>
      </c>
    </row>
    <row r="13">
      <c r="A13" s="6" t="inlineStr">
        <is>
          <t>Dropout Rate (%)</t>
        </is>
      </c>
      <c r="B13" s="7">
        <f>AVERAGE(Student_Performance_Data!P2:P101)</f>
        <v/>
      </c>
      <c r="C13" s="7">
        <f>MIN(Student_Performance_Data!P2:P101)</f>
        <v/>
      </c>
      <c r="D13" s="7">
        <f>MAX(Student_Performance_Data!P2:P101)</f>
        <v/>
      </c>
    </row>
    <row r="14">
      <c r="A14" s="6" t="inlineStr">
        <is>
          <t>Avg Test Score</t>
        </is>
      </c>
      <c r="B14" s="7">
        <f>AVERAGE(Student_Performance_Data!Q2:Q101)</f>
        <v/>
      </c>
      <c r="C14" s="7">
        <f>MIN(Student_Performance_Data!Q2:Q101)</f>
        <v/>
      </c>
      <c r="D14" s="7">
        <f>MAX(Student_Performance_Data!Q2:Q101)</f>
        <v/>
      </c>
    </row>
    <row r="15">
      <c r="A15" s="6" t="inlineStr">
        <is>
          <t>Graduation Rate (%)</t>
        </is>
      </c>
      <c r="B15" s="7">
        <f>AVERAGE(Student_Performance_Data!R2:R101)</f>
        <v/>
      </c>
      <c r="C15" s="7">
        <f>MIN(Student_Performance_Data!R2:R101)</f>
        <v/>
      </c>
      <c r="D15" s="7">
        <f>MAX(Student_Performance_Data!R2:R101)</f>
        <v/>
      </c>
    </row>
    <row r="16">
      <c r="A16" s="6" t="inlineStr">
        <is>
          <t>Pass Rate (%)</t>
        </is>
      </c>
      <c r="B16" s="7">
        <f>AVERAGE(Student_Performance_Data!S2:S101)</f>
        <v/>
      </c>
      <c r="C16" s="7">
        <f>MIN(Student_Performance_Data!S2:S101)</f>
        <v/>
      </c>
      <c r="D16" s="7">
        <f>MAX(Student_Performance_Data!S2:S101)</f>
        <v/>
      </c>
    </row>
    <row r="17">
      <c r="A17" s="6" t="inlineStr">
        <is>
          <t>STEM Score</t>
        </is>
      </c>
      <c r="B17" s="7">
        <f>AVERAGE(Student_Performance_Data!T2:T101)</f>
        <v/>
      </c>
      <c r="C17" s="7">
        <f>MIN(Student_Performance_Data!T2:T101)</f>
        <v/>
      </c>
      <c r="D17" s="7">
        <f>MAX(Student_Performance_Data!T2:T101)</f>
        <v/>
      </c>
    </row>
    <row r="18">
      <c r="A18" s="6" t="inlineStr">
        <is>
          <t>Literacy Score</t>
        </is>
      </c>
      <c r="B18" s="7">
        <f>AVERAGE(Student_Performance_Data!U2:U101)</f>
        <v/>
      </c>
      <c r="C18" s="7">
        <f>MIN(Student_Performance_Data!U2:U101)</f>
        <v/>
      </c>
      <c r="D18" s="7">
        <f>MAX(Student_Performance_Data!U2:U101)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60" customWidth="1" min="3" max="3"/>
  </cols>
  <sheetData>
    <row r="1">
      <c r="A1" s="4" t="inlineStr">
        <is>
          <t>Data Dictionary</t>
        </is>
      </c>
    </row>
    <row r="3">
      <c r="A3" s="5" t="inlineStr">
        <is>
          <t>Column Name</t>
        </is>
      </c>
      <c r="B3" s="5" t="inlineStr">
        <is>
          <t>Data Type</t>
        </is>
      </c>
      <c r="C3" s="5" t="inlineStr">
        <is>
          <t>Description</t>
        </is>
      </c>
    </row>
    <row r="4" ht="20" customHeight="1">
      <c r="A4" s="8" t="inlineStr">
        <is>
          <t>Student_ID</t>
        </is>
      </c>
      <c r="B4" s="8" t="inlineStr">
        <is>
          <t>Integer</t>
        </is>
      </c>
      <c r="C4" s="8" t="inlineStr">
        <is>
          <t>Unique identifier for each student record (1–100)</t>
        </is>
      </c>
    </row>
    <row r="5" ht="20" customHeight="1">
      <c r="A5" s="9" t="inlineStr">
        <is>
          <t>School_Name</t>
        </is>
      </c>
      <c r="B5" s="9" t="inlineStr">
        <is>
          <t>Text</t>
        </is>
      </c>
      <c r="C5" s="9" t="inlineStr">
        <is>
          <t>Name of the school attended</t>
        </is>
      </c>
    </row>
    <row r="6" ht="20" customHeight="1">
      <c r="A6" s="8" t="inlineStr">
        <is>
          <t>Region</t>
        </is>
      </c>
      <c r="B6" s="8" t="inlineStr">
        <is>
          <t>Text</t>
        </is>
      </c>
      <c r="C6" s="8" t="inlineStr">
        <is>
          <t>Geographic region: North, South, East, West, Central</t>
        </is>
      </c>
    </row>
    <row r="7" ht="20" customHeight="1">
      <c r="A7" s="9" t="inlineStr">
        <is>
          <t>School_Type</t>
        </is>
      </c>
      <c r="B7" s="9" t="inlineStr">
        <is>
          <t>Text</t>
        </is>
      </c>
      <c r="C7" s="9" t="inlineStr">
        <is>
          <t>Type of school: Public, Private, or Charter</t>
        </is>
      </c>
    </row>
    <row r="8" ht="20" customHeight="1">
      <c r="A8" s="8" t="inlineStr">
        <is>
          <t>Enrollment</t>
        </is>
      </c>
      <c r="B8" s="8" t="inlineStr">
        <is>
          <t>Integer</t>
        </is>
      </c>
      <c r="C8" s="8" t="inlineStr">
        <is>
          <t>Total number of students enrolled</t>
        </is>
      </c>
    </row>
    <row r="9" ht="20" customHeight="1">
      <c r="A9" s="9" t="inlineStr">
        <is>
          <t>Num_Teachers</t>
        </is>
      </c>
      <c r="B9" s="9" t="inlineStr">
        <is>
          <t>Integer</t>
        </is>
      </c>
      <c r="C9" s="9" t="inlineStr">
        <is>
          <t>Total number of teaching staff</t>
        </is>
      </c>
    </row>
    <row r="10" ht="20" customHeight="1">
      <c r="A10" s="8" t="inlineStr">
        <is>
          <t>Student_Teacher_Ratio</t>
        </is>
      </c>
      <c r="B10" s="8" t="inlineStr">
        <is>
          <t>Decimal</t>
        </is>
      </c>
      <c r="C10" s="8" t="inlineStr">
        <is>
          <t>Ratio of students per teacher</t>
        </is>
      </c>
    </row>
    <row r="11" ht="20" customHeight="1">
      <c r="A11" s="9" t="inlineStr">
        <is>
          <t>Budget_Per_Student_USD</t>
        </is>
      </c>
      <c r="B11" s="9" t="inlineStr">
        <is>
          <t>Decimal</t>
        </is>
      </c>
      <c r="C11" s="9" t="inlineStr">
        <is>
          <t>Annual budget allocated per student in USD</t>
        </is>
      </c>
    </row>
    <row r="12" ht="20" customHeight="1">
      <c r="A12" s="8" t="inlineStr">
        <is>
          <t>Library_Books</t>
        </is>
      </c>
      <c r="B12" s="8" t="inlineStr">
        <is>
          <t>Integer</t>
        </is>
      </c>
      <c r="C12" s="8" t="inlineStr">
        <is>
          <t>Number of books available in the school library</t>
        </is>
      </c>
    </row>
    <row r="13" ht="20" customHeight="1">
      <c r="A13" s="9" t="inlineStr">
        <is>
          <t>Num_Computers</t>
        </is>
      </c>
      <c r="B13" s="9" t="inlineStr">
        <is>
          <t>Integer</t>
        </is>
      </c>
      <c r="C13" s="9" t="inlineStr">
        <is>
          <t>Number of computers available for student use</t>
        </is>
      </c>
    </row>
    <row r="14" ht="20" customHeight="1">
      <c r="A14" s="8" t="inlineStr">
        <is>
          <t>Computer_Student_Ratio</t>
        </is>
      </c>
      <c r="B14" s="8" t="inlineStr">
        <is>
          <t>Decimal</t>
        </is>
      </c>
      <c r="C14" s="8" t="inlineStr">
        <is>
          <t>Ratio of computers per student</t>
        </is>
      </c>
    </row>
    <row r="15" ht="20" customHeight="1">
      <c r="A15" s="9" t="inlineStr">
        <is>
          <t>Extracurricular_Programs</t>
        </is>
      </c>
      <c r="B15" s="9" t="inlineStr">
        <is>
          <t>Integer</t>
        </is>
      </c>
      <c r="C15" s="9" t="inlineStr">
        <is>
          <t>Number of extracurricular programs offered</t>
        </is>
      </c>
    </row>
    <row r="16" ht="20" customHeight="1">
      <c r="A16" s="8" t="inlineStr">
        <is>
          <t>Avg_Teacher_Experience_Yrs</t>
        </is>
      </c>
      <c r="B16" s="8" t="inlineStr">
        <is>
          <t>Decimal</t>
        </is>
      </c>
      <c r="C16" s="8" t="inlineStr">
        <is>
          <t>Average years of teaching experience</t>
        </is>
      </c>
    </row>
    <row r="17" ht="20" customHeight="1">
      <c r="A17" s="9" t="inlineStr">
        <is>
          <t>Teacher_Qualification_Pct</t>
        </is>
      </c>
      <c r="B17" s="9" t="inlineStr">
        <is>
          <t>Decimal</t>
        </is>
      </c>
      <c r="C17" s="9" t="inlineStr">
        <is>
          <t>Percentage of teachers with advanced degrees</t>
        </is>
      </c>
    </row>
    <row r="18" ht="20" customHeight="1">
      <c r="A18" s="8" t="inlineStr">
        <is>
          <t>Attendance_Rate_Pct</t>
        </is>
      </c>
      <c r="B18" s="8" t="inlineStr">
        <is>
          <t>Decimal</t>
        </is>
      </c>
      <c r="C18" s="8" t="inlineStr">
        <is>
          <t>Average student attendance rate (%)</t>
        </is>
      </c>
    </row>
    <row r="19" ht="20" customHeight="1">
      <c r="A19" s="9" t="inlineStr">
        <is>
          <t>Dropout_Rate_Pct</t>
        </is>
      </c>
      <c r="B19" s="9" t="inlineStr">
        <is>
          <t>Decimal</t>
        </is>
      </c>
      <c r="C19" s="9" t="inlineStr">
        <is>
          <t>Percentage of students who dropped out</t>
        </is>
      </c>
    </row>
    <row r="20" ht="20" customHeight="1">
      <c r="A20" s="8" t="inlineStr">
        <is>
          <t>Avg_Test_Score</t>
        </is>
      </c>
      <c r="B20" s="8" t="inlineStr">
        <is>
          <t>Decimal</t>
        </is>
      </c>
      <c r="C20" s="8" t="inlineStr">
        <is>
          <t>Average standardized test score (0–100)</t>
        </is>
      </c>
    </row>
    <row r="21" ht="20" customHeight="1">
      <c r="A21" s="9" t="inlineStr">
        <is>
          <t>Graduation_Rate_Pct</t>
        </is>
      </c>
      <c r="B21" s="9" t="inlineStr">
        <is>
          <t>Decimal</t>
        </is>
      </c>
      <c r="C21" s="9" t="inlineStr">
        <is>
          <t>Percentage of students who graduated</t>
        </is>
      </c>
    </row>
    <row r="22" ht="20" customHeight="1">
      <c r="A22" s="8" t="inlineStr">
        <is>
          <t>Pass_Rate_Pct</t>
        </is>
      </c>
      <c r="B22" s="8" t="inlineStr">
        <is>
          <t>Decimal</t>
        </is>
      </c>
      <c r="C22" s="8" t="inlineStr">
        <is>
          <t>Percentage of students who passed core assessments</t>
        </is>
      </c>
    </row>
    <row r="23" ht="20" customHeight="1">
      <c r="A23" s="9" t="inlineStr">
        <is>
          <t>STEM_Score</t>
        </is>
      </c>
      <c r="B23" s="9" t="inlineStr">
        <is>
          <t>Decimal</t>
        </is>
      </c>
      <c r="C23" s="9" t="inlineStr">
        <is>
          <t>Average score in Science, Technology, Engineering &amp; Math</t>
        </is>
      </c>
    </row>
    <row r="24" ht="20" customHeight="1">
      <c r="A24" s="8" t="inlineStr">
        <is>
          <t>Literacy_Score</t>
        </is>
      </c>
      <c r="B24" s="8" t="inlineStr">
        <is>
          <t>Decimal</t>
        </is>
      </c>
      <c r="C24" s="8" t="inlineStr">
        <is>
          <t>Average score in literacy/reading assessments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2026-05-27T12:18:18Z</dcterms:created>
  <dcterms:modified xmlns:dcterms="http://purl.org/dc/terms/" xmlns:xsi="http://www.w3.org/2001/XMLSchema-instance" xsi:type="dcterms:W3CDTF">2026-05-27T12:18:18Z</dcterms:modified>
</cp:coreProperties>
</file>